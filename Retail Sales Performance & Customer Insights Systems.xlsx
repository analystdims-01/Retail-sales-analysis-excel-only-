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184A149A-377A-46FB-97A6-05132CF815FB}" xr6:coauthVersionLast="47" xr6:coauthVersionMax="47" xr10:uidLastSave="{00000000-0000-0000-0000-000000000000}"/>
  <bookViews>
    <workbookView xWindow="-120" yWindow="-120" windowWidth="29040" windowHeight="15720" firstSheet="4" activeTab="4" xr2:uid="{00000000-000D-0000-FFFF-FFFF00000000}"/>
  </bookViews>
  <sheets>
    <sheet name="Sales" sheetId="1" state="hidden" r:id="rId1"/>
    <sheet name="Customers" sheetId="2" state="hidden" r:id="rId2"/>
    <sheet name="Sales (2)" sheetId="6" state="hidden" r:id="rId3"/>
    <sheet name="Products (2)" sheetId="5" state="hidden" r:id="rId4"/>
    <sheet name="Sheet4" sheetId="16" r:id="rId5"/>
    <sheet name="Sales " sheetId="11" r:id="rId6"/>
    <sheet name="Products" sheetId="3" r:id="rId7"/>
    <sheet name="customers_tbl" sheetId="9" r:id="rId8"/>
    <sheet name="dashboard" sheetId="14" r:id="rId9"/>
  </sheets>
  <definedNames>
    <definedName name="_xlcn.WorksheetConnection_RetailSalesPerformanceCustomerInsightsSystems.xlsxSales__21" hidden="1">Sales__tbl[]</definedName>
    <definedName name="_xlcn.WorksheetConnection_RetailSalesPerformanceCustomerInsightsSystems.xlsxTable11" hidden="1">customer_tbl[]</definedName>
    <definedName name="_xlcn.WorksheetConnection_RetailSalesPerformanceCustomerInsightsSystems.xlsxTable81" hidden="1">product_tbl[]</definedName>
    <definedName name="ExternalData_1" localSheetId="5" hidden="1">'Sales '!$A$1:$L$801</definedName>
    <definedName name="ExternalData_2" localSheetId="3" hidden="1">'Products (2)'!$A$1:$E$101</definedName>
    <definedName name="ExternalData_3" localSheetId="2" hidden="1">'Sales (2)'!$A$1:$I$801</definedName>
    <definedName name="Slicer_date__Year">#N/A</definedName>
    <definedName name="Slicer_loyalty_status">#N/A</definedName>
    <definedName name="Slicer_region">#N/A</definedName>
  </definedNames>
  <calcPr calcId="191029"/>
  <pivotCaches>
    <pivotCache cacheId="675" r:id="rId10"/>
    <pivotCache cacheId="738" r:id="rId11"/>
    <pivotCache cacheId="741" r:id="rId12"/>
    <pivotCache cacheId="744" r:id="rId13"/>
    <pivotCache cacheId="747" r:id="rId14"/>
    <pivotCache cacheId="750"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product_tbl" connection="WorksheetConnection_Retail Sales Performance &amp; Customer Insights Systems.xlsx!Table8"/>
          <x15:modelTable id="Table1" name="customer_tbl" connection="WorksheetConnection_Retail Sales Performance &amp; Customer Insights Systems.xlsx!Table1"/>
          <x15:modelTable id="Sales__2" name="Sales__tbl" connection="WorksheetConnection_Retail Sales Performance &amp; Customer Insights Systems.xlsx!Sales__2"/>
        </x15:modelTables>
        <x15:modelRelationships>
          <x15:modelRelationship fromTable="Sales__tbl" fromColumn="customer_id" toTable="customer_tbl" toColumn="customer_id"/>
          <x15:modelRelationship fromTable="Sales__tbl" fromColumn="product_key" toTable="product_tbl" toColumn="product_key"/>
        </x15:modelRelationships>
        <x15:extLst>
          <ext xmlns:x16="http://schemas.microsoft.com/office/spreadsheetml/2014/11/main" uri="{9835A34E-60A6-4A7C-AAB8-D5F71C897F49}">
            <x16:modelTimeGroupings>
              <x16:modelTimeGrouping tableName="Sales__tbl"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02" i="11" l="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N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E2" i="3"/>
  <c r="H802" i="11"/>
  <c r="J18" i="16"/>
  <c r="H20" i="16"/>
  <c r="C8" i="16"/>
  <c r="A9" i="16"/>
  <c r="A8" i="16"/>
  <c r="J19" i="16"/>
  <c r="H19" i="16"/>
  <c r="H18" i="16"/>
  <c r="K19" i="16"/>
  <c r="K18" i="16"/>
  <c r="K21" i="16" l="1"/>
  <c r="J21" i="16"/>
  <c r="I21" i="16"/>
  <c r="I22" i="16"/>
  <c r="I18" i="16"/>
  <c r="D33" i="11"/>
  <c r="D4" i="11"/>
  <c r="D654" i="11"/>
  <c r="D635" i="11"/>
  <c r="D738" i="11"/>
  <c r="D610" i="11"/>
  <c r="D498" i="11"/>
  <c r="D402" i="11"/>
  <c r="D66" i="11"/>
  <c r="D727" i="11"/>
  <c r="D777" i="11"/>
  <c r="D713" i="11"/>
  <c r="D673" i="11"/>
  <c r="D609" i="11"/>
  <c r="D561" i="11"/>
  <c r="D497" i="11"/>
  <c r="D489" i="11"/>
  <c r="D305" i="11"/>
  <c r="D233" i="11"/>
  <c r="D201" i="11"/>
  <c r="D105" i="11"/>
  <c r="D778" i="11"/>
  <c r="D746" i="11"/>
  <c r="D586" i="11"/>
  <c r="D514" i="11"/>
  <c r="D426" i="11"/>
  <c r="D354" i="11"/>
  <c r="D258" i="11"/>
  <c r="D170" i="11"/>
  <c r="D138" i="11"/>
  <c r="D776" i="11"/>
  <c r="D760" i="11"/>
  <c r="D744" i="11"/>
  <c r="D712" i="11"/>
  <c r="D680" i="11"/>
  <c r="D672" i="11"/>
  <c r="D488" i="11"/>
  <c r="D360" i="11"/>
  <c r="D312" i="11"/>
  <c r="D232" i="11"/>
  <c r="D104" i="11"/>
  <c r="D72" i="11"/>
  <c r="D579" i="11"/>
  <c r="D706" i="11"/>
  <c r="D626" i="11"/>
  <c r="D703" i="11"/>
  <c r="D671" i="11"/>
  <c r="D631" i="11"/>
  <c r="D567" i="11"/>
  <c r="D543" i="11"/>
  <c r="D503" i="11"/>
  <c r="D359" i="11"/>
  <c r="D311" i="11"/>
  <c r="D231" i="11"/>
  <c r="D542" i="11"/>
  <c r="D384" i="11"/>
  <c r="D288" i="11"/>
  <c r="D735" i="11"/>
  <c r="D639" i="11"/>
  <c r="D583" i="11"/>
  <c r="D471" i="11"/>
  <c r="D439" i="11"/>
  <c r="D391" i="11"/>
  <c r="D327" i="11"/>
  <c r="D263" i="11"/>
  <c r="D215" i="11"/>
  <c r="D151" i="11"/>
  <c r="D119" i="11"/>
  <c r="D87" i="11"/>
  <c r="D79" i="11"/>
  <c r="D47" i="11"/>
  <c r="D18" i="11"/>
  <c r="D798" i="11"/>
  <c r="D694" i="11"/>
  <c r="D630" i="11"/>
  <c r="D398" i="11"/>
  <c r="D174" i="11"/>
  <c r="D446" i="11"/>
  <c r="D317" i="11"/>
  <c r="D141" i="11"/>
  <c r="D629" i="11"/>
  <c r="D745" i="11"/>
  <c r="D657" i="11"/>
  <c r="D73" i="11"/>
  <c r="D584" i="11"/>
  <c r="D767" i="11"/>
  <c r="D695" i="11"/>
  <c r="D615" i="11"/>
  <c r="D447" i="11"/>
  <c r="D343" i="11"/>
  <c r="D541" i="11"/>
  <c r="D533" i="11"/>
  <c r="D405" i="11"/>
  <c r="D341" i="11"/>
  <c r="D333" i="11"/>
  <c r="D173" i="11"/>
  <c r="D445" i="11"/>
  <c r="D257" i="11"/>
  <c r="D401" i="11"/>
  <c r="D289" i="11"/>
  <c r="D383" i="11"/>
  <c r="D472" i="11"/>
  <c r="D40" i="11"/>
  <c r="D799" i="11"/>
  <c r="D519" i="11"/>
  <c r="D455" i="11"/>
  <c r="D415" i="11"/>
  <c r="D319" i="11"/>
  <c r="D796" i="11"/>
  <c r="D788" i="11"/>
  <c r="D780" i="11"/>
  <c r="D772" i="11"/>
  <c r="D764" i="11"/>
  <c r="D756" i="11"/>
  <c r="D748" i="11"/>
  <c r="D740" i="11"/>
  <c r="D732" i="11"/>
  <c r="D724" i="11"/>
  <c r="D716" i="11"/>
  <c r="D708" i="11"/>
  <c r="D700" i="11"/>
  <c r="D692" i="11"/>
  <c r="D684" i="11"/>
  <c r="D676" i="11"/>
  <c r="D668" i="11"/>
  <c r="D660" i="11"/>
  <c r="D652" i="11"/>
  <c r="D644" i="11"/>
  <c r="D636" i="11"/>
  <c r="D628" i="11"/>
  <c r="D620" i="11"/>
  <c r="D612" i="11"/>
  <c r="D604" i="11"/>
  <c r="D596" i="11"/>
  <c r="D588" i="11"/>
  <c r="D766" i="11"/>
  <c r="D429" i="11"/>
  <c r="D728" i="11"/>
  <c r="D705" i="11"/>
  <c r="D585" i="11"/>
  <c r="D353" i="11"/>
  <c r="D795" i="11"/>
  <c r="D787" i="11"/>
  <c r="D779" i="11"/>
  <c r="D771" i="11"/>
  <c r="D763" i="11"/>
  <c r="D755" i="11"/>
  <c r="D747" i="11"/>
  <c r="D739" i="11"/>
  <c r="D731" i="11"/>
  <c r="D723" i="11"/>
  <c r="D715" i="11"/>
  <c r="D707" i="11"/>
  <c r="D699" i="11"/>
  <c r="D691" i="11"/>
  <c r="D683" i="11"/>
  <c r="D675" i="11"/>
  <c r="D667" i="11"/>
  <c r="D659" i="11"/>
  <c r="D651" i="11"/>
  <c r="D643" i="11"/>
  <c r="D627" i="11"/>
  <c r="D619" i="11"/>
  <c r="D611" i="11"/>
  <c r="D603" i="11"/>
  <c r="D595" i="11"/>
  <c r="D587" i="11"/>
  <c r="D571" i="11"/>
  <c r="D563" i="11"/>
  <c r="D555" i="11"/>
  <c r="D547" i="11"/>
  <c r="D539" i="11"/>
  <c r="D531" i="11"/>
  <c r="D523" i="11"/>
  <c r="D515" i="11"/>
  <c r="D507" i="11"/>
  <c r="D499" i="11"/>
  <c r="D491" i="11"/>
  <c r="D483" i="11"/>
  <c r="D475" i="11"/>
  <c r="D467" i="11"/>
  <c r="D459" i="11"/>
  <c r="D451" i="11"/>
  <c r="D443" i="11"/>
  <c r="D435" i="11"/>
  <c r="D427" i="11"/>
  <c r="D419" i="11"/>
  <c r="D411" i="11"/>
  <c r="D403" i="11"/>
  <c r="D395" i="11"/>
  <c r="D782" i="11"/>
  <c r="D750" i="11"/>
  <c r="D734" i="11"/>
  <c r="D702" i="11"/>
  <c r="D526" i="11"/>
  <c r="D502" i="11"/>
  <c r="D430" i="11"/>
  <c r="D414" i="11"/>
  <c r="D342" i="11"/>
  <c r="D318" i="11"/>
  <c r="D270" i="11"/>
  <c r="D214" i="11"/>
  <c r="D118" i="11"/>
  <c r="D86" i="11"/>
  <c r="D14" i="11"/>
  <c r="D661" i="11"/>
  <c r="D597" i="11"/>
  <c r="D589" i="11"/>
  <c r="D573" i="11"/>
  <c r="D525" i="11"/>
  <c r="D501" i="11"/>
  <c r="D477" i="11"/>
  <c r="D413" i="11"/>
  <c r="D245" i="11"/>
  <c r="D189" i="11"/>
  <c r="D85" i="11"/>
  <c r="D53" i="11"/>
  <c r="D580" i="11"/>
  <c r="D572" i="11"/>
  <c r="D564" i="11"/>
  <c r="D556" i="11"/>
  <c r="D548" i="11"/>
  <c r="D540" i="11"/>
  <c r="D532" i="11"/>
  <c r="D524" i="11"/>
  <c r="D516" i="11"/>
  <c r="D508" i="11"/>
  <c r="D500" i="11"/>
  <c r="D492" i="11"/>
  <c r="D484" i="11"/>
  <c r="D476" i="11"/>
  <c r="D468" i="11"/>
  <c r="D460" i="11"/>
  <c r="D452" i="11"/>
  <c r="D444" i="11"/>
  <c r="D436" i="11"/>
  <c r="D428" i="11"/>
  <c r="D420" i="11"/>
  <c r="D412" i="11"/>
  <c r="D404" i="11"/>
  <c r="D396" i="11"/>
  <c r="D388" i="11"/>
  <c r="D380" i="11"/>
  <c r="D372" i="11"/>
  <c r="D364" i="11"/>
  <c r="D356" i="11"/>
  <c r="D348" i="11"/>
  <c r="D340" i="11"/>
  <c r="D332" i="11"/>
  <c r="D324" i="11"/>
  <c r="D316" i="11"/>
  <c r="D308" i="11"/>
  <c r="D300" i="11"/>
  <c r="D292" i="11"/>
  <c r="D284" i="11"/>
  <c r="D276" i="11"/>
  <c r="D268" i="11"/>
  <c r="D260" i="11"/>
  <c r="D252" i="11"/>
  <c r="D244" i="11"/>
  <c r="D236" i="11"/>
  <c r="D228" i="11"/>
  <c r="D220" i="11"/>
  <c r="D212" i="11"/>
  <c r="D204" i="11"/>
  <c r="D196" i="11"/>
  <c r="D188" i="11"/>
  <c r="D180" i="11"/>
  <c r="D172" i="11"/>
  <c r="D164" i="11"/>
  <c r="D156" i="11"/>
  <c r="D148" i="11"/>
  <c r="D140" i="11"/>
  <c r="D132" i="11"/>
  <c r="D124" i="11"/>
  <c r="D116" i="11"/>
  <c r="D108" i="11"/>
  <c r="D100" i="11"/>
  <c r="D92" i="11"/>
  <c r="D84" i="11"/>
  <c r="D76" i="11"/>
  <c r="D68" i="11"/>
  <c r="D60" i="11"/>
  <c r="D52" i="11"/>
  <c r="D44" i="11"/>
  <c r="D36" i="11"/>
  <c r="D28" i="11"/>
  <c r="D20" i="11"/>
  <c r="D12" i="11"/>
  <c r="D387" i="11"/>
  <c r="D379" i="11"/>
  <c r="D371" i="11"/>
  <c r="D363" i="11"/>
  <c r="D355" i="11"/>
  <c r="D347" i="11"/>
  <c r="D339" i="11"/>
  <c r="D331" i="11"/>
  <c r="D323" i="11"/>
  <c r="D315" i="11"/>
  <c r="D307" i="11"/>
  <c r="D299" i="11"/>
  <c r="D291" i="11"/>
  <c r="D283" i="11"/>
  <c r="D275" i="11"/>
  <c r="D267" i="11"/>
  <c r="D259" i="11"/>
  <c r="D251" i="11"/>
  <c r="D243" i="11"/>
  <c r="D235" i="11"/>
  <c r="D227" i="11"/>
  <c r="D219" i="11"/>
  <c r="D211" i="11"/>
  <c r="D203" i="11"/>
  <c r="D195" i="11"/>
  <c r="D187" i="11"/>
  <c r="D179" i="11"/>
  <c r="D171" i="11"/>
  <c r="D163" i="11"/>
  <c r="D155" i="11"/>
  <c r="D147" i="11"/>
  <c r="D139" i="11"/>
  <c r="D131" i="11"/>
  <c r="D123" i="11"/>
  <c r="D115" i="11"/>
  <c r="D107" i="11"/>
  <c r="D99" i="11"/>
  <c r="D91" i="11"/>
  <c r="D83" i="11"/>
  <c r="D75" i="11"/>
  <c r="D67" i="11"/>
  <c r="D59" i="11"/>
  <c r="D51" i="11"/>
  <c r="D43" i="11"/>
  <c r="D35" i="11"/>
  <c r="D27" i="11"/>
  <c r="D19" i="11"/>
  <c r="D11" i="11"/>
  <c r="D34" i="11"/>
  <c r="D792" i="11"/>
  <c r="D759" i="11"/>
  <c r="D726" i="11"/>
  <c r="D653" i="11"/>
  <c r="D605" i="11"/>
  <c r="D558" i="11"/>
  <c r="D513" i="11"/>
  <c r="D470" i="11"/>
  <c r="D425" i="11"/>
  <c r="D375" i="11"/>
  <c r="D330" i="11"/>
  <c r="D287" i="11"/>
  <c r="D205" i="11"/>
  <c r="D137" i="11"/>
  <c r="D55" i="11"/>
  <c r="D126" i="11"/>
  <c r="D191" i="11"/>
  <c r="D221" i="11"/>
  <c r="D302" i="11"/>
  <c r="D349" i="11"/>
  <c r="D397" i="11"/>
  <c r="D440" i="11"/>
  <c r="D487" i="11"/>
  <c r="D530" i="11"/>
  <c r="D575" i="11"/>
  <c r="D625" i="11"/>
  <c r="D670" i="11"/>
  <c r="D704" i="11"/>
  <c r="D737" i="11"/>
  <c r="D790" i="11"/>
  <c r="D65" i="11"/>
  <c r="D136" i="11"/>
  <c r="D200" i="11"/>
  <c r="D256" i="11"/>
  <c r="D22" i="11"/>
  <c r="D88" i="11"/>
  <c r="D159" i="11"/>
  <c r="D247" i="11"/>
  <c r="D277" i="11"/>
  <c r="D328" i="11"/>
  <c r="D373" i="11"/>
  <c r="D416" i="11"/>
  <c r="D461" i="11"/>
  <c r="D511" i="11"/>
  <c r="D554" i="11"/>
  <c r="D599" i="11"/>
  <c r="D642" i="11"/>
  <c r="D686" i="11"/>
  <c r="D722" i="11"/>
  <c r="D770" i="11"/>
  <c r="D32" i="11"/>
  <c r="D98" i="11"/>
  <c r="D169" i="11"/>
  <c r="D226" i="11"/>
  <c r="D791" i="11"/>
  <c r="D758" i="11"/>
  <c r="D690" i="11"/>
  <c r="D647" i="11"/>
  <c r="D600" i="11"/>
  <c r="D557" i="11"/>
  <c r="D512" i="11"/>
  <c r="D469" i="11"/>
  <c r="D417" i="11"/>
  <c r="D374" i="11"/>
  <c r="D329" i="11"/>
  <c r="D286" i="11"/>
  <c r="D202" i="11"/>
  <c r="D106" i="11"/>
  <c r="D752" i="11"/>
  <c r="D688" i="11"/>
  <c r="D648" i="11"/>
  <c r="D608" i="11"/>
  <c r="D552" i="11"/>
  <c r="D520" i="11"/>
  <c r="D480" i="11"/>
  <c r="D392" i="11"/>
  <c r="D320" i="11"/>
  <c r="D248" i="11"/>
  <c r="D160" i="11"/>
  <c r="D56" i="11"/>
  <c r="D8" i="11"/>
  <c r="D775" i="11"/>
  <c r="D743" i="11"/>
  <c r="D711" i="11"/>
  <c r="D679" i="11"/>
  <c r="D663" i="11"/>
  <c r="D623" i="11"/>
  <c r="D591" i="11"/>
  <c r="D559" i="11"/>
  <c r="D535" i="11"/>
  <c r="D479" i="11"/>
  <c r="D423" i="11"/>
  <c r="D407" i="11"/>
  <c r="D351" i="11"/>
  <c r="D295" i="11"/>
  <c r="D271" i="11"/>
  <c r="D223" i="11"/>
  <c r="D199" i="11"/>
  <c r="D175" i="11"/>
  <c r="D143" i="11"/>
  <c r="D127" i="11"/>
  <c r="D103" i="11"/>
  <c r="D63" i="11"/>
  <c r="D39" i="11"/>
  <c r="D31" i="11"/>
  <c r="D7" i="11"/>
  <c r="D754" i="11"/>
  <c r="D736" i="11"/>
  <c r="D641" i="11"/>
  <c r="D598" i="11"/>
  <c r="D553" i="11"/>
  <c r="D458" i="11"/>
  <c r="D370" i="11"/>
  <c r="D301" i="11"/>
  <c r="D246" i="11"/>
  <c r="D216" i="11"/>
  <c r="D190" i="11"/>
  <c r="D158" i="11"/>
  <c r="D120" i="11"/>
  <c r="D21" i="11"/>
  <c r="D774" i="11"/>
  <c r="D742" i="11"/>
  <c r="D710" i="11"/>
  <c r="D678" i="11"/>
  <c r="D662" i="11"/>
  <c r="D646" i="11"/>
  <c r="D638" i="11"/>
  <c r="D622" i="11"/>
  <c r="D614" i="11"/>
  <c r="D606" i="11"/>
  <c r="D590" i="11"/>
  <c r="D582" i="11"/>
  <c r="D566" i="11"/>
  <c r="D550" i="11"/>
  <c r="D534" i="11"/>
  <c r="D518" i="11"/>
  <c r="D510" i="11"/>
  <c r="D494" i="11"/>
  <c r="D486" i="11"/>
  <c r="D478" i="11"/>
  <c r="D462" i="11"/>
  <c r="D454" i="11"/>
  <c r="D438" i="11"/>
  <c r="D422" i="11"/>
  <c r="D406" i="11"/>
  <c r="D390" i="11"/>
  <c r="D382" i="11"/>
  <c r="D366" i="11"/>
  <c r="D358" i="11"/>
  <c r="D350" i="11"/>
  <c r="D334" i="11"/>
  <c r="D326" i="11"/>
  <c r="D310" i="11"/>
  <c r="D294" i="11"/>
  <c r="D278" i="11"/>
  <c r="D262" i="11"/>
  <c r="D254" i="11"/>
  <c r="D238" i="11"/>
  <c r="D230" i="11"/>
  <c r="D222" i="11"/>
  <c r="D206" i="11"/>
  <c r="D198" i="11"/>
  <c r="D182" i="11"/>
  <c r="D166" i="11"/>
  <c r="D150" i="11"/>
  <c r="D142" i="11"/>
  <c r="D134" i="11"/>
  <c r="D110" i="11"/>
  <c r="D102" i="11"/>
  <c r="D94" i="11"/>
  <c r="D78" i="11"/>
  <c r="D70" i="11"/>
  <c r="D62" i="11"/>
  <c r="D46" i="11"/>
  <c r="D38" i="11"/>
  <c r="D30" i="11"/>
  <c r="D6" i="11"/>
  <c r="D801" i="11"/>
  <c r="D786" i="11"/>
  <c r="D768" i="11"/>
  <c r="D682" i="11"/>
  <c r="D640" i="11"/>
  <c r="D616" i="11"/>
  <c r="D545" i="11"/>
  <c r="D481" i="11"/>
  <c r="D457" i="11"/>
  <c r="D433" i="11"/>
  <c r="D386" i="11"/>
  <c r="D369" i="11"/>
  <c r="D298" i="11"/>
  <c r="D273" i="11"/>
  <c r="D152" i="11"/>
  <c r="D784" i="11"/>
  <c r="D720" i="11"/>
  <c r="D664" i="11"/>
  <c r="D632" i="11"/>
  <c r="D576" i="11"/>
  <c r="D536" i="11"/>
  <c r="D504" i="11"/>
  <c r="D448" i="11"/>
  <c r="D376" i="11"/>
  <c r="D264" i="11"/>
  <c r="D192" i="11"/>
  <c r="D128" i="11"/>
  <c r="D24" i="11"/>
  <c r="D783" i="11"/>
  <c r="D751" i="11"/>
  <c r="D719" i="11"/>
  <c r="D687" i="11"/>
  <c r="D655" i="11"/>
  <c r="D607" i="11"/>
  <c r="D551" i="11"/>
  <c r="D527" i="11"/>
  <c r="D495" i="11"/>
  <c r="D463" i="11"/>
  <c r="D431" i="11"/>
  <c r="D399" i="11"/>
  <c r="D367" i="11"/>
  <c r="D335" i="11"/>
  <c r="D303" i="11"/>
  <c r="D279" i="11"/>
  <c r="D255" i="11"/>
  <c r="D239" i="11"/>
  <c r="D207" i="11"/>
  <c r="D183" i="11"/>
  <c r="D167" i="11"/>
  <c r="D135" i="11"/>
  <c r="D111" i="11"/>
  <c r="D95" i="11"/>
  <c r="D71" i="11"/>
  <c r="D23" i="11"/>
  <c r="D15" i="11"/>
  <c r="D17" i="11"/>
  <c r="D81" i="11"/>
  <c r="D145" i="11"/>
  <c r="D49" i="11"/>
  <c r="D113" i="11"/>
  <c r="D177" i="11"/>
  <c r="D41" i="11"/>
  <c r="D74" i="11"/>
  <c r="D178" i="11"/>
  <c r="D234" i="11"/>
  <c r="D290" i="11"/>
  <c r="D306" i="11"/>
  <c r="D362" i="11"/>
  <c r="D418" i="11"/>
  <c r="D434" i="11"/>
  <c r="D490" i="11"/>
  <c r="D546" i="11"/>
  <c r="D562" i="11"/>
  <c r="D618" i="11"/>
  <c r="D674" i="11"/>
  <c r="D697" i="11"/>
  <c r="D729" i="11"/>
  <c r="D761" i="11"/>
  <c r="D793" i="11"/>
  <c r="D225" i="11"/>
  <c r="D9" i="11"/>
  <c r="D42" i="11"/>
  <c r="D146" i="11"/>
  <c r="D161" i="11"/>
  <c r="D193" i="11"/>
  <c r="D209" i="11"/>
  <c r="D265" i="11"/>
  <c r="D321" i="11"/>
  <c r="D337" i="11"/>
  <c r="D393" i="11"/>
  <c r="D449" i="11"/>
  <c r="D465" i="11"/>
  <c r="D521" i="11"/>
  <c r="D577" i="11"/>
  <c r="D593" i="11"/>
  <c r="D649" i="11"/>
  <c r="D698" i="11"/>
  <c r="D730" i="11"/>
  <c r="D762" i="11"/>
  <c r="D794" i="11"/>
  <c r="D10" i="11"/>
  <c r="D96" i="11"/>
  <c r="D114" i="11"/>
  <c r="D129" i="11"/>
  <c r="D162" i="11"/>
  <c r="D194" i="11"/>
  <c r="D210" i="11"/>
  <c r="D224" i="11"/>
  <c r="D266" i="11"/>
  <c r="D280" i="11"/>
  <c r="D296" i="11"/>
  <c r="D322" i="11"/>
  <c r="D338" i="11"/>
  <c r="D352" i="11"/>
  <c r="D394" i="11"/>
  <c r="D408" i="11"/>
  <c r="D424" i="11"/>
  <c r="D450" i="11"/>
  <c r="D466" i="11"/>
  <c r="D522" i="11"/>
  <c r="D578" i="11"/>
  <c r="D594" i="11"/>
  <c r="D650" i="11"/>
  <c r="D689" i="11"/>
  <c r="D721" i="11"/>
  <c r="D753" i="11"/>
  <c r="D785" i="11"/>
  <c r="D64" i="11"/>
  <c r="D82" i="11"/>
  <c r="D97" i="11"/>
  <c r="D130" i="11"/>
  <c r="D168" i="11"/>
  <c r="D241" i="11"/>
  <c r="D769" i="11"/>
  <c r="D718" i="11"/>
  <c r="D669" i="11"/>
  <c r="D617" i="11"/>
  <c r="D574" i="11"/>
  <c r="D529" i="11"/>
  <c r="D482" i="11"/>
  <c r="D344" i="11"/>
  <c r="D274" i="11"/>
  <c r="D54" i="11"/>
  <c r="D797" i="11"/>
  <c r="D789" i="11"/>
  <c r="D781" i="11"/>
  <c r="D773" i="11"/>
  <c r="D765" i="11"/>
  <c r="D757" i="11"/>
  <c r="D749" i="11"/>
  <c r="D741" i="11"/>
  <c r="D733" i="11"/>
  <c r="D725" i="11"/>
  <c r="D717" i="11"/>
  <c r="D709" i="11"/>
  <c r="D701" i="11"/>
  <c r="D693" i="11"/>
  <c r="D685" i="11"/>
  <c r="D677" i="11"/>
  <c r="D645" i="11"/>
  <c r="D637" i="11"/>
  <c r="D621" i="11"/>
  <c r="D613" i="11"/>
  <c r="D581" i="11"/>
  <c r="D565" i="11"/>
  <c r="D549" i="11"/>
  <c r="D517" i="11"/>
  <c r="D509" i="11"/>
  <c r="D493" i="11"/>
  <c r="D485" i="11"/>
  <c r="D453" i="11"/>
  <c r="D437" i="11"/>
  <c r="D421" i="11"/>
  <c r="D389" i="11"/>
  <c r="D381" i="11"/>
  <c r="D365" i="11"/>
  <c r="D357" i="11"/>
  <c r="D325" i="11"/>
  <c r="D309" i="11"/>
  <c r="D293" i="11"/>
  <c r="D285" i="11"/>
  <c r="D269" i="11"/>
  <c r="D261" i="11"/>
  <c r="D253" i="11"/>
  <c r="D237" i="11"/>
  <c r="D229" i="11"/>
  <c r="D213" i="11"/>
  <c r="D197" i="11"/>
  <c r="D181" i="11"/>
  <c r="D165" i="11"/>
  <c r="D157" i="11"/>
  <c r="D149" i="11"/>
  <c r="D133" i="11"/>
  <c r="D125" i="11"/>
  <c r="D117" i="11"/>
  <c r="D109" i="11"/>
  <c r="D101" i="11"/>
  <c r="D93" i="11"/>
  <c r="D77" i="11"/>
  <c r="D69" i="11"/>
  <c r="D61" i="11"/>
  <c r="D45" i="11"/>
  <c r="D37" i="11"/>
  <c r="D29" i="11"/>
  <c r="D13" i="11"/>
  <c r="D5" i="11"/>
  <c r="D800" i="11"/>
  <c r="D714" i="11"/>
  <c r="D696" i="11"/>
  <c r="D681" i="11"/>
  <c r="D658" i="11"/>
  <c r="D568" i="11"/>
  <c r="D544" i="11"/>
  <c r="D456" i="11"/>
  <c r="D385" i="11"/>
  <c r="D361" i="11"/>
  <c r="D297" i="11"/>
  <c r="D242" i="11"/>
  <c r="D184" i="11"/>
  <c r="D50" i="11"/>
  <c r="D666" i="11"/>
  <c r="D634" i="11"/>
  <c r="D602" i="11"/>
  <c r="D570" i="11"/>
  <c r="D538" i="11"/>
  <c r="D506" i="11"/>
  <c r="D474" i="11"/>
  <c r="D442" i="11"/>
  <c r="D410" i="11"/>
  <c r="D378" i="11"/>
  <c r="D346" i="11"/>
  <c r="D314" i="11"/>
  <c r="D282" i="11"/>
  <c r="D250" i="11"/>
  <c r="D218" i="11"/>
  <c r="D186" i="11"/>
  <c r="D154" i="11"/>
  <c r="D122" i="11"/>
  <c r="D90" i="11"/>
  <c r="D58" i="11"/>
  <c r="D26" i="11"/>
  <c r="D665" i="11"/>
  <c r="D633" i="11"/>
  <c r="D601" i="11"/>
  <c r="D569" i="11"/>
  <c r="D537" i="11"/>
  <c r="D505" i="11"/>
  <c r="D473" i="11"/>
  <c r="D441" i="11"/>
  <c r="D409" i="11"/>
  <c r="D377" i="11"/>
  <c r="D345" i="11"/>
  <c r="D313" i="11"/>
  <c r="D281" i="11"/>
  <c r="D249" i="11"/>
  <c r="D217" i="11"/>
  <c r="D185" i="11"/>
  <c r="D153" i="11"/>
  <c r="D121" i="11"/>
  <c r="D89" i="11"/>
  <c r="D57" i="11"/>
  <c r="D25" i="11"/>
  <c r="D656" i="11"/>
  <c r="D624" i="11"/>
  <c r="D592" i="11"/>
  <c r="D560" i="11"/>
  <c r="D528" i="11"/>
  <c r="D496" i="11"/>
  <c r="D464" i="11"/>
  <c r="D432" i="11"/>
  <c r="D400" i="11"/>
  <c r="D368" i="11"/>
  <c r="D336" i="11"/>
  <c r="D304" i="11"/>
  <c r="D272" i="11"/>
  <c r="D240" i="11"/>
  <c r="D208" i="11"/>
  <c r="D176" i="11"/>
  <c r="D144" i="11"/>
  <c r="D112" i="11"/>
  <c r="D80" i="11"/>
  <c r="D48" i="11"/>
  <c r="D16" i="11"/>
  <c r="D3" i="11"/>
  <c r="D2" i="1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B8" i="16"/>
  <c r="B9" i="16"/>
  <c r="I802" i="11" l="1"/>
  <c r="L802" i="11" l="1"/>
  <c r="J80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324CCA-98D0-4846-9688-049A6AEACC5E}"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2" xr16:uid="{32A2016D-1B0F-4320-8DA8-DB6DDB6A621F}" keepAlive="1" name="Query - Sales" description="Connection to the 'Sales' query in the workbook." type="5" refreshedVersion="7" background="1" saveData="1">
    <dbPr connection="Provider=Microsoft.Mashup.OleDb.1;Data Source=$Workbook$;Location=Sales;Extended Properties=&quot;&quot;" command="SELECT * FROM [Sales]"/>
  </connection>
  <connection id="3" xr16:uid="{13A09A93-7C9C-4411-82B5-E46033820CCB}" keepAlive="1" name="Query - Sales (2)" description="Connection to the 'Sales (2)' query in the workbook." type="5" refreshedVersion="7" background="1" saveData="1">
    <dbPr connection="Provider=Microsoft.Mashup.OleDb.1;Data Source=$Workbook$;Location=&quot;Sales (2)&quot;;Extended Properties=&quot;&quot;" command="SELECT * FROM [Sales (2)]"/>
  </connection>
  <connection id="4" xr16:uid="{5F71E0BE-3360-41D1-B7F2-58A3C913191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5B24391-0A13-49EA-A5A4-538C61B9EE2C}" name="WorksheetConnection_Retail Sales Performance &amp; Customer Insights Systems.xlsx!Sales__2" type="102" refreshedVersion="7" minRefreshableVersion="5">
    <extLst>
      <ext xmlns:x15="http://schemas.microsoft.com/office/spreadsheetml/2010/11/main" uri="{DE250136-89BD-433C-8126-D09CA5730AF9}">
        <x15:connection id="Sales__2">
          <x15:rangePr sourceName="_xlcn.WorksheetConnection_RetailSalesPerformanceCustomerInsightsSystems.xlsxSales__21"/>
        </x15:connection>
      </ext>
    </extLst>
  </connection>
  <connection id="6" xr16:uid="{B84C23DF-79DA-45CF-B6E1-0B682CAAECCD}" name="WorksheetConnection_Retail Sales Performance &amp; Customer Insights Systems.xlsx!Table1" type="102" refreshedVersion="7" minRefreshableVersion="5">
    <extLst>
      <ext xmlns:x15="http://schemas.microsoft.com/office/spreadsheetml/2010/11/main" uri="{DE250136-89BD-433C-8126-D09CA5730AF9}">
        <x15:connection id="Table1">
          <x15:rangePr sourceName="_xlcn.WorksheetConnection_RetailSalesPerformanceCustomerInsightsSystems.xlsxTable11"/>
        </x15:connection>
      </ext>
    </extLst>
  </connection>
  <connection id="7" xr16:uid="{F4B5EA6F-68C8-405A-8F7E-7E63498ADB5F}" name="WorksheetConnection_Retail Sales Performance &amp; Customer Insights Systems.xlsx!Table8" type="102" refreshedVersion="7" minRefreshableVersion="5">
    <extLst>
      <ext xmlns:x15="http://schemas.microsoft.com/office/spreadsheetml/2010/11/main" uri="{DE250136-89BD-433C-8126-D09CA5730AF9}">
        <x15:connection id="Table8">
          <x15:rangePr sourceName="_xlcn.WorksheetConnection_RetailSalesPerformanceCustomerInsightsSystems.xlsxTable81"/>
        </x15:connection>
      </ext>
    </extLst>
  </connection>
</connections>
</file>

<file path=xl/sharedStrings.xml><?xml version="1.0" encoding="utf-8"?>
<sst xmlns="http://schemas.openxmlformats.org/spreadsheetml/2006/main" count="5405" uniqueCount="1208">
  <si>
    <t>sale_id</t>
  </si>
  <si>
    <t>date</t>
  </si>
  <si>
    <t>branch_id</t>
  </si>
  <si>
    <t>customer_id</t>
  </si>
  <si>
    <t>product_id</t>
  </si>
  <si>
    <t>quantity</t>
  </si>
  <si>
    <t>price</t>
  </si>
  <si>
    <t>discount</t>
  </si>
  <si>
    <t>total_amount</t>
  </si>
  <si>
    <t>2023-02-12</t>
  </si>
  <si>
    <t>2023-03-24</t>
  </si>
  <si>
    <t>2025-08-21</t>
  </si>
  <si>
    <t>2024-07-23</t>
  </si>
  <si>
    <t>2025-06-11</t>
  </si>
  <si>
    <t>2023-07-06</t>
  </si>
  <si>
    <t>2024-12-13</t>
  </si>
  <si>
    <t>2024-11-13</t>
  </si>
  <si>
    <t>2023-08-03</t>
  </si>
  <si>
    <t>2024-11-06</t>
  </si>
  <si>
    <t>2025-10-11</t>
  </si>
  <si>
    <t>2025-03-31</t>
  </si>
  <si>
    <t>2025-07-20</t>
  </si>
  <si>
    <t>2024-10-06</t>
  </si>
  <si>
    <t>2024-10-24</t>
  </si>
  <si>
    <t>2025-04-07</t>
  </si>
  <si>
    <t>2025-08-04</t>
  </si>
  <si>
    <t>2023-04-22</t>
  </si>
  <si>
    <t>2025-01-10</t>
  </si>
  <si>
    <t>2025-06-24</t>
  </si>
  <si>
    <t>2024-02-21</t>
  </si>
  <si>
    <t>2023-09-26</t>
  </si>
  <si>
    <t>2025-06-16</t>
  </si>
  <si>
    <t>2023-09-06</t>
  </si>
  <si>
    <t>2024-05-05</t>
  </si>
  <si>
    <t>2024-09-28</t>
  </si>
  <si>
    <t>2025-04-15</t>
  </si>
  <si>
    <t>2024-04-05</t>
  </si>
  <si>
    <t>2025-08-03</t>
  </si>
  <si>
    <t>2023-11-12</t>
  </si>
  <si>
    <t>2024-08-20</t>
  </si>
  <si>
    <t>2025-04-30</t>
  </si>
  <si>
    <t>2025-08-25</t>
  </si>
  <si>
    <t>2025-07-24</t>
  </si>
  <si>
    <t>2025-02-24</t>
  </si>
  <si>
    <t>2025-11-06</t>
  </si>
  <si>
    <t>2023-05-23</t>
  </si>
  <si>
    <t>2025-04-29</t>
  </si>
  <si>
    <t>2025-11-05</t>
  </si>
  <si>
    <t>2023-01-06</t>
  </si>
  <si>
    <t>2024-09-03</t>
  </si>
  <si>
    <t>2023-11-01</t>
  </si>
  <si>
    <t>2025-09-18</t>
  </si>
  <si>
    <t>2024-11-11</t>
  </si>
  <si>
    <t>2025-07-21</t>
  </si>
  <si>
    <t>2024-01-22</t>
  </si>
  <si>
    <t>2025-02-23</t>
  </si>
  <si>
    <t>2025-04-21</t>
  </si>
  <si>
    <t>2024-10-13</t>
  </si>
  <si>
    <t>2025-02-19</t>
  </si>
  <si>
    <t>2023-11-08</t>
  </si>
  <si>
    <t>2023-03-17</t>
  </si>
  <si>
    <t>2025-10-25</t>
  </si>
  <si>
    <t>2023-07-25</t>
  </si>
  <si>
    <t>2023-07-24</t>
  </si>
  <si>
    <t>2023-02-01</t>
  </si>
  <si>
    <t>2025-04-19</t>
  </si>
  <si>
    <t>2023-06-03</t>
  </si>
  <si>
    <t>2024-06-26</t>
  </si>
  <si>
    <t>2025-03-25</t>
  </si>
  <si>
    <t>2024-11-03</t>
  </si>
  <si>
    <t>2024-10-10</t>
  </si>
  <si>
    <t>2023-03-15</t>
  </si>
  <si>
    <t>2024-04-25</t>
  </si>
  <si>
    <t>2024-04-10</t>
  </si>
  <si>
    <t>2025-06-07</t>
  </si>
  <si>
    <t>2023-12-07</t>
  </si>
  <si>
    <t>2023-03-01</t>
  </si>
  <si>
    <t>2024-10-26</t>
  </si>
  <si>
    <t>2024-08-23</t>
  </si>
  <si>
    <t>2025-02-06</t>
  </si>
  <si>
    <t>2023-10-26</t>
  </si>
  <si>
    <t>2025-04-23</t>
  </si>
  <si>
    <t>2023-12-15</t>
  </si>
  <si>
    <t>2023-06-11</t>
  </si>
  <si>
    <t>2024-05-08</t>
  </si>
  <si>
    <t>2023-10-21</t>
  </si>
  <si>
    <t>2025-08-02</t>
  </si>
  <si>
    <t>2025-07-30</t>
  </si>
  <si>
    <t>2023-01-20</t>
  </si>
  <si>
    <t>2024-08-12</t>
  </si>
  <si>
    <t>2023-06-01</t>
  </si>
  <si>
    <t>2024-12-08</t>
  </si>
  <si>
    <t>2025-05-18</t>
  </si>
  <si>
    <t>2024-02-12</t>
  </si>
  <si>
    <t>2025-09-16</t>
  </si>
  <si>
    <t>2024-04-30</t>
  </si>
  <si>
    <t>2025-01-05</t>
  </si>
  <si>
    <t>2024-08-27</t>
  </si>
  <si>
    <t>2025-03-21</t>
  </si>
  <si>
    <t>2023-01-17</t>
  </si>
  <si>
    <t>2025-10-14</t>
  </si>
  <si>
    <t>2024-04-16</t>
  </si>
  <si>
    <t>2024-03-24</t>
  </si>
  <si>
    <t>2024-05-28</t>
  </si>
  <si>
    <t>2023-07-18</t>
  </si>
  <si>
    <t>2024-09-24</t>
  </si>
  <si>
    <t>2023-03-10</t>
  </si>
  <si>
    <t>2023-09-27</t>
  </si>
  <si>
    <t>2024-02-16</t>
  </si>
  <si>
    <t>2025-01-19</t>
  </si>
  <si>
    <t>2023-12-03</t>
  </si>
  <si>
    <t>2025-09-13</t>
  </si>
  <si>
    <t>2024-11-24</t>
  </si>
  <si>
    <t>2025-08-17</t>
  </si>
  <si>
    <t>2023-10-16</t>
  </si>
  <si>
    <t>2025-03-24</t>
  </si>
  <si>
    <t>2023-07-04</t>
  </si>
  <si>
    <t>2023-01-29</t>
  </si>
  <si>
    <t>2023-09-11</t>
  </si>
  <si>
    <t>2025-01-24</t>
  </si>
  <si>
    <t>2023-08-10</t>
  </si>
  <si>
    <t>2025-08-23</t>
  </si>
  <si>
    <t>2024-11-02</t>
  </si>
  <si>
    <t>2023-05-10</t>
  </si>
  <si>
    <t>2024-09-10</t>
  </si>
  <si>
    <t>2023-08-27</t>
  </si>
  <si>
    <t>2023-04-03</t>
  </si>
  <si>
    <t>2024-09-15</t>
  </si>
  <si>
    <t>2023-08-26</t>
  </si>
  <si>
    <t>2025-03-06</t>
  </si>
  <si>
    <t>2025-01-29</t>
  </si>
  <si>
    <t>2023-11-13</t>
  </si>
  <si>
    <t>2023-07-22</t>
  </si>
  <si>
    <t>2023-03-09</t>
  </si>
  <si>
    <t>2024-03-20</t>
  </si>
  <si>
    <t>2025-06-29</t>
  </si>
  <si>
    <t>2025-01-12</t>
  </si>
  <si>
    <t>2025-01-22</t>
  </si>
  <si>
    <t>2023-05-05</t>
  </si>
  <si>
    <t>2024-07-19</t>
  </si>
  <si>
    <t>2023-09-08</t>
  </si>
  <si>
    <t>2023-07-07</t>
  </si>
  <si>
    <t>2023-02-13</t>
  </si>
  <si>
    <t>2024-11-14</t>
  </si>
  <si>
    <t>2023-09-15</t>
  </si>
  <si>
    <t>2023-05-21</t>
  </si>
  <si>
    <t>2024-03-18</t>
  </si>
  <si>
    <t>2023-10-24</t>
  </si>
  <si>
    <t>2023-08-14</t>
  </si>
  <si>
    <t>2025-01-03</t>
  </si>
  <si>
    <t>2024-10-25</t>
  </si>
  <si>
    <t>2023-12-23</t>
  </si>
  <si>
    <t>2023-04-18</t>
  </si>
  <si>
    <t>2025-05-12</t>
  </si>
  <si>
    <t>2023-05-11</t>
  </si>
  <si>
    <t>2025-07-07</t>
  </si>
  <si>
    <t>2023-08-12</t>
  </si>
  <si>
    <t>2025-10-28</t>
  </si>
  <si>
    <t>2023-03-30</t>
  </si>
  <si>
    <t>2025-07-27</t>
  </si>
  <si>
    <t>2025-04-02</t>
  </si>
  <si>
    <t>2025-06-27</t>
  </si>
  <si>
    <t>2023-06-15</t>
  </si>
  <si>
    <t>2023-10-31</t>
  </si>
  <si>
    <t>2023-09-16</t>
  </si>
  <si>
    <t>2024-10-27</t>
  </si>
  <si>
    <t>2024-08-26</t>
  </si>
  <si>
    <t>2025-11-01</t>
  </si>
  <si>
    <t>2023-07-23</t>
  </si>
  <si>
    <t>2024-03-16</t>
  </si>
  <si>
    <t>2025-07-13</t>
  </si>
  <si>
    <t>2025-04-27</t>
  </si>
  <si>
    <t>2025-07-17</t>
  </si>
  <si>
    <t>2025-05-01</t>
  </si>
  <si>
    <t>2024-10-02</t>
  </si>
  <si>
    <t>2025-02-05</t>
  </si>
  <si>
    <t>2025-08-29</t>
  </si>
  <si>
    <t>2023-07-10</t>
  </si>
  <si>
    <t>2023-07-17</t>
  </si>
  <si>
    <t>2023-09-24</t>
  </si>
  <si>
    <t>2025-05-16</t>
  </si>
  <si>
    <t>2024-12-21</t>
  </si>
  <si>
    <t>2024-04-04</t>
  </si>
  <si>
    <t>2024-12-18</t>
  </si>
  <si>
    <t>2023-08-24</t>
  </si>
  <si>
    <t>2024-04-08</t>
  </si>
  <si>
    <t>2023-02-23</t>
  </si>
  <si>
    <t>2024-07-13</t>
  </si>
  <si>
    <t>2024-11-26</t>
  </si>
  <si>
    <t>2023-01-13</t>
  </si>
  <si>
    <t>2023-03-04</t>
  </si>
  <si>
    <t>2025-05-09</t>
  </si>
  <si>
    <t>2024-11-29</t>
  </si>
  <si>
    <t>2025-01-27</t>
  </si>
  <si>
    <t>2023-11-19</t>
  </si>
  <si>
    <t>2023-06-17</t>
  </si>
  <si>
    <t>2025-06-26</t>
  </si>
  <si>
    <t>2025-09-21</t>
  </si>
  <si>
    <t>2025-04-28</t>
  </si>
  <si>
    <t>2024-03-17</t>
  </si>
  <si>
    <t>2024-12-07</t>
  </si>
  <si>
    <t>2023-08-16</t>
  </si>
  <si>
    <t>2025-09-23</t>
  </si>
  <si>
    <t>2023-04-04</t>
  </si>
  <si>
    <t>2025-03-20</t>
  </si>
  <si>
    <t>2023-01-16</t>
  </si>
  <si>
    <t>2024-09-09</t>
  </si>
  <si>
    <t>2023-10-09</t>
  </si>
  <si>
    <t>2024-08-15</t>
  </si>
  <si>
    <t>2023-09-03</t>
  </si>
  <si>
    <t>2025-10-15</t>
  </si>
  <si>
    <t>2023-12-26</t>
  </si>
  <si>
    <t>2025-02-17</t>
  </si>
  <si>
    <t>2025-10-21</t>
  </si>
  <si>
    <t>2023-05-28</t>
  </si>
  <si>
    <t>2023-03-28</t>
  </si>
  <si>
    <t>2023-02-08</t>
  </si>
  <si>
    <t>2023-06-09</t>
  </si>
  <si>
    <t>2025-05-29</t>
  </si>
  <si>
    <t>2025-05-05</t>
  </si>
  <si>
    <t>2023-12-18</t>
  </si>
  <si>
    <t>2025-01-11</t>
  </si>
  <si>
    <t>2025-06-13</t>
  </si>
  <si>
    <t>2024-05-13</t>
  </si>
  <si>
    <t>2023-06-06</t>
  </si>
  <si>
    <t>2025-11-10</t>
  </si>
  <si>
    <t>2024-12-16</t>
  </si>
  <si>
    <t>2023-10-30</t>
  </si>
  <si>
    <t>2023-07-30</t>
  </si>
  <si>
    <t>2024-06-08</t>
  </si>
  <si>
    <t>2023-12-22</t>
  </si>
  <si>
    <t>2023-06-04</t>
  </si>
  <si>
    <t>2025-10-08</t>
  </si>
  <si>
    <t>2025-07-08</t>
  </si>
  <si>
    <t>2024-10-09</t>
  </si>
  <si>
    <t>2025-06-19</t>
  </si>
  <si>
    <t>2025-08-18</t>
  </si>
  <si>
    <t>2024-09-12</t>
  </si>
  <si>
    <t>2023-04-26</t>
  </si>
  <si>
    <t>2024-09-27</t>
  </si>
  <si>
    <t>2025-07-14</t>
  </si>
  <si>
    <t>2023-04-27</t>
  </si>
  <si>
    <t>2024-08-10</t>
  </si>
  <si>
    <t>2025-08-05</t>
  </si>
  <si>
    <t>2025-07-10</t>
  </si>
  <si>
    <t>2024-10-20</t>
  </si>
  <si>
    <t>2025-10-23</t>
  </si>
  <si>
    <t>2023-05-07</t>
  </si>
  <si>
    <t>2023-07-31</t>
  </si>
  <si>
    <t>2023-06-22</t>
  </si>
  <si>
    <t>2023-03-22</t>
  </si>
  <si>
    <t>2025-06-15</t>
  </si>
  <si>
    <t>2023-11-22</t>
  </si>
  <si>
    <t>2025-02-02</t>
  </si>
  <si>
    <t>2025-03-04</t>
  </si>
  <si>
    <t>2024-11-23</t>
  </si>
  <si>
    <t>2024-11-16</t>
  </si>
  <si>
    <t>2025-03-02</t>
  </si>
  <si>
    <t>2024-05-31</t>
  </si>
  <si>
    <t>2023-10-17</t>
  </si>
  <si>
    <t>2023-09-22</t>
  </si>
  <si>
    <t>2024-09-26</t>
  </si>
  <si>
    <t>2023-07-11</t>
  </si>
  <si>
    <t>2025-11-07</t>
  </si>
  <si>
    <t>2023-02-07</t>
  </si>
  <si>
    <t>2024-03-14</t>
  </si>
  <si>
    <t>2025-09-22</t>
  </si>
  <si>
    <t>2023-11-14</t>
  </si>
  <si>
    <t>2024-08-28</t>
  </si>
  <si>
    <t>2024-11-20</t>
  </si>
  <si>
    <t>2025-02-10</t>
  </si>
  <si>
    <t>2023-11-29</t>
  </si>
  <si>
    <t>2023-12-06</t>
  </si>
  <si>
    <t>2023-03-31</t>
  </si>
  <si>
    <t>2025-01-16</t>
  </si>
  <si>
    <t>2025-06-28</t>
  </si>
  <si>
    <t>2024-05-04</t>
  </si>
  <si>
    <t>2025-01-23</t>
  </si>
  <si>
    <t>2025-02-21</t>
  </si>
  <si>
    <t>2023-11-28</t>
  </si>
  <si>
    <t>2023-10-11</t>
  </si>
  <si>
    <t>2023-04-17</t>
  </si>
  <si>
    <t>2025-01-30</t>
  </si>
  <si>
    <t>2023-09-13</t>
  </si>
  <si>
    <t>2023-06-21</t>
  </si>
  <si>
    <t>2024-07-12</t>
  </si>
  <si>
    <t>2023-10-29</t>
  </si>
  <si>
    <t>2025-07-12</t>
  </si>
  <si>
    <t>2023-02-24</t>
  </si>
  <si>
    <t>2023-04-20</t>
  </si>
  <si>
    <t>2024-04-27</t>
  </si>
  <si>
    <t>2024-10-14</t>
  </si>
  <si>
    <t>2024-11-17</t>
  </si>
  <si>
    <t>2023-10-12</t>
  </si>
  <si>
    <t>2023-06-12</t>
  </si>
  <si>
    <t>2023-11-03</t>
  </si>
  <si>
    <t>2024-05-01</t>
  </si>
  <si>
    <t>2023-09-07</t>
  </si>
  <si>
    <t>2024-05-03</t>
  </si>
  <si>
    <t>2025-07-25</t>
  </si>
  <si>
    <t>2023-02-03</t>
  </si>
  <si>
    <t>2023-10-22</t>
  </si>
  <si>
    <t>2024-12-23</t>
  </si>
  <si>
    <t>2025-05-03</t>
  </si>
  <si>
    <t>2023-06-25</t>
  </si>
  <si>
    <t>2023-05-19</t>
  </si>
  <si>
    <t>2025-03-10</t>
  </si>
  <si>
    <t>2025-02-03</t>
  </si>
  <si>
    <t>2023-04-01</t>
  </si>
  <si>
    <t>2025-08-09</t>
  </si>
  <si>
    <t>2024-01-09</t>
  </si>
  <si>
    <t>2024-02-17</t>
  </si>
  <si>
    <t>2024-02-13</t>
  </si>
  <si>
    <t>2024-10-08</t>
  </si>
  <si>
    <t>2025-03-26</t>
  </si>
  <si>
    <t>2024-06-02</t>
  </si>
  <si>
    <t>2024-01-27</t>
  </si>
  <si>
    <t>2025-01-01</t>
  </si>
  <si>
    <t>2024-11-10</t>
  </si>
  <si>
    <t>2023-09-12</t>
  </si>
  <si>
    <t>2024-11-25</t>
  </si>
  <si>
    <t>2025-10-13</t>
  </si>
  <si>
    <t>2023-06-19</t>
  </si>
  <si>
    <t>2024-01-05</t>
  </si>
  <si>
    <t>2024-10-19</t>
  </si>
  <si>
    <t>2023-06-13</t>
  </si>
  <si>
    <t>2025-07-02</t>
  </si>
  <si>
    <t>2023-12-08</t>
  </si>
  <si>
    <t>2024-12-20</t>
  </si>
  <si>
    <t>2025-06-09</t>
  </si>
  <si>
    <t>2023-04-28</t>
  </si>
  <si>
    <t>2025-04-11</t>
  </si>
  <si>
    <t>2023-11-24</t>
  </si>
  <si>
    <t>2023-10-20</t>
  </si>
  <si>
    <t>2023-03-13</t>
  </si>
  <si>
    <t>2023-05-18</t>
  </si>
  <si>
    <t>2025-01-20</t>
  </si>
  <si>
    <t>2023-11-11</t>
  </si>
  <si>
    <t>2024-07-24</t>
  </si>
  <si>
    <t>2023-08-21</t>
  </si>
  <si>
    <t>2024-01-17</t>
  </si>
  <si>
    <t>2025-03-03</t>
  </si>
  <si>
    <t>2024-06-20</t>
  </si>
  <si>
    <t>2024-08-07</t>
  </si>
  <si>
    <t>2024-02-14</t>
  </si>
  <si>
    <t>2023-10-05</t>
  </si>
  <si>
    <t>2025-06-30</t>
  </si>
  <si>
    <t>2024-10-16</t>
  </si>
  <si>
    <t>2023-05-13</t>
  </si>
  <si>
    <t>2024-09-06</t>
  </si>
  <si>
    <t>2025-01-09</t>
  </si>
  <si>
    <t>2025-08-15</t>
  </si>
  <si>
    <t>2023-06-26</t>
  </si>
  <si>
    <t>2024-09-25</t>
  </si>
  <si>
    <t>2025-09-07</t>
  </si>
  <si>
    <t>2025-04-18</t>
  </si>
  <si>
    <t>2023-09-14</t>
  </si>
  <si>
    <t>2025-08-12</t>
  </si>
  <si>
    <t>2023-09-20</t>
  </si>
  <si>
    <t>2025-10-26</t>
  </si>
  <si>
    <t>2024-09-14</t>
  </si>
  <si>
    <t>2024-04-06</t>
  </si>
  <si>
    <t>2024-08-04</t>
  </si>
  <si>
    <t>2024-07-16</t>
  </si>
  <si>
    <t>2024-11-22</t>
  </si>
  <si>
    <t>2023-02-28</t>
  </si>
  <si>
    <t>2024-03-07</t>
  </si>
  <si>
    <t>2024-08-16</t>
  </si>
  <si>
    <t>2023-05-03</t>
  </si>
  <si>
    <t>2024-02-22</t>
  </si>
  <si>
    <t>2024-10-15</t>
  </si>
  <si>
    <t>2025-03-27</t>
  </si>
  <si>
    <t>2025-01-28</t>
  </si>
  <si>
    <t>2025-08-13</t>
  </si>
  <si>
    <t>2024-07-01</t>
  </si>
  <si>
    <t>2024-05-22</t>
  </si>
  <si>
    <t>2024-08-17</t>
  </si>
  <si>
    <t>2025-05-06</t>
  </si>
  <si>
    <t>2023-11-23</t>
  </si>
  <si>
    <t>2025-08-14</t>
  </si>
  <si>
    <t>2024-09-23</t>
  </si>
  <si>
    <t>2023-02-17</t>
  </si>
  <si>
    <t>2025-03-16</t>
  </si>
  <si>
    <t>2023-04-14</t>
  </si>
  <si>
    <t>2025-10-10</t>
  </si>
  <si>
    <t>2024-08-08</t>
  </si>
  <si>
    <t>2023-08-09</t>
  </si>
  <si>
    <t>2023-10-02</t>
  </si>
  <si>
    <t>2024-02-03</t>
  </si>
  <si>
    <t>2024-08-14</t>
  </si>
  <si>
    <t>2024-07-26</t>
  </si>
  <si>
    <t>2023-09-21</t>
  </si>
  <si>
    <t>2025-03-17</t>
  </si>
  <si>
    <t>2023-10-23</t>
  </si>
  <si>
    <t>2025-11-08</t>
  </si>
  <si>
    <t>2023-10-08</t>
  </si>
  <si>
    <t>2025-08-28</t>
  </si>
  <si>
    <t>2023-11-02</t>
  </si>
  <si>
    <t>2024-09-05</t>
  </si>
  <si>
    <t>2024-08-11</t>
  </si>
  <si>
    <t>2023-08-19</t>
  </si>
  <si>
    <t>2024-06-10</t>
  </si>
  <si>
    <t>2024-03-23</t>
  </si>
  <si>
    <t>2023-05-04</t>
  </si>
  <si>
    <t>2024-01-04</t>
  </si>
  <si>
    <t>2023-03-07</t>
  </si>
  <si>
    <t>2024-09-07</t>
  </si>
  <si>
    <t>2024-03-09</t>
  </si>
  <si>
    <t>2023-12-17</t>
  </si>
  <si>
    <t>2023-10-14</t>
  </si>
  <si>
    <t>2024-07-06</t>
  </si>
  <si>
    <t>2024-02-05</t>
  </si>
  <si>
    <t>2024-06-01</t>
  </si>
  <si>
    <t>name</t>
  </si>
  <si>
    <t>gender</t>
  </si>
  <si>
    <t>region</t>
  </si>
  <si>
    <t>signup_date</t>
  </si>
  <si>
    <t>loyalty_status</t>
  </si>
  <si>
    <t>Customer 0001</t>
  </si>
  <si>
    <t>Other</t>
  </si>
  <si>
    <t>North</t>
  </si>
  <si>
    <t>Silver</t>
  </si>
  <si>
    <t>Customer 0002</t>
  </si>
  <si>
    <t>South</t>
  </si>
  <si>
    <t>2020-12-16</t>
  </si>
  <si>
    <t>Bronze</t>
  </si>
  <si>
    <t>Customer 0003</t>
  </si>
  <si>
    <t>Female</t>
  </si>
  <si>
    <t>Central</t>
  </si>
  <si>
    <t>2022-02-16</t>
  </si>
  <si>
    <t>Customer 0004</t>
  </si>
  <si>
    <t>Male</t>
  </si>
  <si>
    <t>2021-10-26</t>
  </si>
  <si>
    <t>Gold</t>
  </si>
  <si>
    <t>Customer 0005</t>
  </si>
  <si>
    <t>West</t>
  </si>
  <si>
    <t>Customer 0006</t>
  </si>
  <si>
    <t>East</t>
  </si>
  <si>
    <t>2021-03-08</t>
  </si>
  <si>
    <t>Customer 0007</t>
  </si>
  <si>
    <t>2022-10-19</t>
  </si>
  <si>
    <t>Customer 0008</t>
  </si>
  <si>
    <t>2020-10-12</t>
  </si>
  <si>
    <t>Customer 0009</t>
  </si>
  <si>
    <t>Customer 0010</t>
  </si>
  <si>
    <t>2022-03-28</t>
  </si>
  <si>
    <t>Platinum</t>
  </si>
  <si>
    <t>Customer 0011</t>
  </si>
  <si>
    <t>2020-10-10</t>
  </si>
  <si>
    <t>Customer 0012</t>
  </si>
  <si>
    <t>2020-04-06</t>
  </si>
  <si>
    <t>Customer 0013</t>
  </si>
  <si>
    <t>Customer 0014</t>
  </si>
  <si>
    <t>2022-02-27</t>
  </si>
  <si>
    <t>Customer 0015</t>
  </si>
  <si>
    <t>2022-12-19</t>
  </si>
  <si>
    <t>Customer 0016</t>
  </si>
  <si>
    <t>2020-01-24</t>
  </si>
  <si>
    <t>Customer 0017</t>
  </si>
  <si>
    <t>2023-01-04</t>
  </si>
  <si>
    <t>Customer 0018</t>
  </si>
  <si>
    <t>2022-06-09</t>
  </si>
  <si>
    <t>Customer 0019</t>
  </si>
  <si>
    <t>2024-01-18</t>
  </si>
  <si>
    <t>Customer 0020</t>
  </si>
  <si>
    <t>2024-04-09</t>
  </si>
  <si>
    <t>Customer 0021</t>
  </si>
  <si>
    <t>Customer 0022</t>
  </si>
  <si>
    <t>2020-11-09</t>
  </si>
  <si>
    <t>Customer 0023</t>
  </si>
  <si>
    <t>Customer 0024</t>
  </si>
  <si>
    <t>2022-09-27</t>
  </si>
  <si>
    <t>Customer 0025</t>
  </si>
  <si>
    <t>2024-08-30</t>
  </si>
  <si>
    <t>Customer 0026</t>
  </si>
  <si>
    <t>Customer 0027</t>
  </si>
  <si>
    <t>2024-07-29</t>
  </si>
  <si>
    <t>Customer 0028</t>
  </si>
  <si>
    <t>2020-09-19</t>
  </si>
  <si>
    <t>Customer 0029</t>
  </si>
  <si>
    <t>2020-12-04</t>
  </si>
  <si>
    <t>Customer 0030</t>
  </si>
  <si>
    <t>2022-05-16</t>
  </si>
  <si>
    <t>Customer 0031</t>
  </si>
  <si>
    <t>Customer 0032</t>
  </si>
  <si>
    <t>2023-10-07</t>
  </si>
  <si>
    <t>Customer 0033</t>
  </si>
  <si>
    <t>2022-11-25</t>
  </si>
  <si>
    <t>Customer 0034</t>
  </si>
  <si>
    <t>2020-05-11</t>
  </si>
  <si>
    <t>Customer 0035</t>
  </si>
  <si>
    <t>2021-04-16</t>
  </si>
  <si>
    <t>Customer 0036</t>
  </si>
  <si>
    <t>2023-12-20</t>
  </si>
  <si>
    <t>Customer 0037</t>
  </si>
  <si>
    <t>2020-03-05</t>
  </si>
  <si>
    <t>Customer 0038</t>
  </si>
  <si>
    <t>2021-07-24</t>
  </si>
  <si>
    <t>Customer 0039</t>
  </si>
  <si>
    <t>2020-09-27</t>
  </si>
  <si>
    <t>Customer 0040</t>
  </si>
  <si>
    <t>2021-05-12</t>
  </si>
  <si>
    <t>Customer 0041</t>
  </si>
  <si>
    <t>2020-07-17</t>
  </si>
  <si>
    <t>Customer 0042</t>
  </si>
  <si>
    <t>2022-04-21</t>
  </si>
  <si>
    <t>Customer 0043</t>
  </si>
  <si>
    <t>Customer 0044</t>
  </si>
  <si>
    <t>2021-11-25</t>
  </si>
  <si>
    <t>Customer 0045</t>
  </si>
  <si>
    <t>2023-01-03</t>
  </si>
  <si>
    <t>Customer 0046</t>
  </si>
  <si>
    <t>Customer 0047</t>
  </si>
  <si>
    <t>2020-06-03</t>
  </si>
  <si>
    <t>Customer 0048</t>
  </si>
  <si>
    <t>2023-08-28</t>
  </si>
  <si>
    <t>Customer 0049</t>
  </si>
  <si>
    <t>Customer 0050</t>
  </si>
  <si>
    <t>2022-09-12</t>
  </si>
  <si>
    <t>Customer 0051</t>
  </si>
  <si>
    <t>2020-12-03</t>
  </si>
  <si>
    <t>Customer 0052</t>
  </si>
  <si>
    <t>2021-06-27</t>
  </si>
  <si>
    <t>Customer 0053</t>
  </si>
  <si>
    <t>Customer 0054</t>
  </si>
  <si>
    <t>2021-08-30</t>
  </si>
  <si>
    <t>Customer 0055</t>
  </si>
  <si>
    <t>2023-01-15</t>
  </si>
  <si>
    <t>Customer 0056</t>
  </si>
  <si>
    <t>2023-04-11</t>
  </si>
  <si>
    <t>Customer 0057</t>
  </si>
  <si>
    <t>2022-12-23</t>
  </si>
  <si>
    <t>Customer 0058</t>
  </si>
  <si>
    <t>2020-06-13</t>
  </si>
  <si>
    <t>Customer 0059</t>
  </si>
  <si>
    <t>Customer 0060</t>
  </si>
  <si>
    <t>2023-03-12</t>
  </si>
  <si>
    <t>Customer 0061</t>
  </si>
  <si>
    <t>Customer 0062</t>
  </si>
  <si>
    <t>2023-03-03</t>
  </si>
  <si>
    <t>Customer 0063</t>
  </si>
  <si>
    <t>2021-02-22</t>
  </si>
  <si>
    <t>Customer 0064</t>
  </si>
  <si>
    <t>2022-03-21</t>
  </si>
  <si>
    <t>Customer 0065</t>
  </si>
  <si>
    <t>2024-03-19</t>
  </si>
  <si>
    <t>Customer 0066</t>
  </si>
  <si>
    <t>2023-02-27</t>
  </si>
  <si>
    <t>Customer 0067</t>
  </si>
  <si>
    <t>2022-11-02</t>
  </si>
  <si>
    <t>Customer 0068</t>
  </si>
  <si>
    <t>2020-05-20</t>
  </si>
  <si>
    <t>Customer 0069</t>
  </si>
  <si>
    <t>2022-06-16</t>
  </si>
  <si>
    <t>Customer 0070</t>
  </si>
  <si>
    <t>2024-07-10</t>
  </si>
  <si>
    <t>Customer 0071</t>
  </si>
  <si>
    <t>2024-07-31</t>
  </si>
  <si>
    <t>Customer 0072</t>
  </si>
  <si>
    <t>2020-07-31</t>
  </si>
  <si>
    <t>Customer 0073</t>
  </si>
  <si>
    <t>2020-08-07</t>
  </si>
  <si>
    <t>Customer 0074</t>
  </si>
  <si>
    <t>2021-07-31</t>
  </si>
  <si>
    <t>Customer 0075</t>
  </si>
  <si>
    <t>2021-02-20</t>
  </si>
  <si>
    <t>Customer 0076</t>
  </si>
  <si>
    <t>2021-05-29</t>
  </si>
  <si>
    <t>Customer 0077</t>
  </si>
  <si>
    <t>2024-08-25</t>
  </si>
  <si>
    <t>Customer 0078</t>
  </si>
  <si>
    <t>2024-04-28</t>
  </si>
  <si>
    <t>Customer 0079</t>
  </si>
  <si>
    <t>2022-06-23</t>
  </si>
  <si>
    <t>Customer 0080</t>
  </si>
  <si>
    <t>2020-08-17</t>
  </si>
  <si>
    <t>Customer 0081</t>
  </si>
  <si>
    <t>Customer 0082</t>
  </si>
  <si>
    <t>2022-05-30</t>
  </si>
  <si>
    <t>Customer 0083</t>
  </si>
  <si>
    <t>2024-06-18</t>
  </si>
  <si>
    <t>Customer 0084</t>
  </si>
  <si>
    <t>2021-05-26</t>
  </si>
  <si>
    <t>Customer 0085</t>
  </si>
  <si>
    <t>2023-02-20</t>
  </si>
  <si>
    <t>Customer 0086</t>
  </si>
  <si>
    <t>2021-04-29</t>
  </si>
  <si>
    <t>Customer 0087</t>
  </si>
  <si>
    <t>2020-02-20</t>
  </si>
  <si>
    <t>Customer 0088</t>
  </si>
  <si>
    <t>2022-04-23</t>
  </si>
  <si>
    <t>Customer 0089</t>
  </si>
  <si>
    <t>Customer 0090</t>
  </si>
  <si>
    <t>2020-03-20</t>
  </si>
  <si>
    <t>Customer 0091</t>
  </si>
  <si>
    <t>2022-07-31</t>
  </si>
  <si>
    <t>Customer 0092</t>
  </si>
  <si>
    <t>2021-04-11</t>
  </si>
  <si>
    <t>Customer 0093</t>
  </si>
  <si>
    <t>2022-03-27</t>
  </si>
  <si>
    <t>Customer 0094</t>
  </si>
  <si>
    <t>2024-05-02</t>
  </si>
  <si>
    <t>Customer 0095</t>
  </si>
  <si>
    <t>2022-03-29</t>
  </si>
  <si>
    <t>Customer 0096</t>
  </si>
  <si>
    <t>2020-02-26</t>
  </si>
  <si>
    <t>Customer 0097</t>
  </si>
  <si>
    <t>Customer 0098</t>
  </si>
  <si>
    <t>2021-12-08</t>
  </si>
  <si>
    <t>Customer 0099</t>
  </si>
  <si>
    <t>2022-11-13</t>
  </si>
  <si>
    <t>Customer 0100</t>
  </si>
  <si>
    <t>2021-01-24</t>
  </si>
  <si>
    <t>Customer 0101</t>
  </si>
  <si>
    <t>2020-01-04</t>
  </si>
  <si>
    <t>Customer 0102</t>
  </si>
  <si>
    <t>2024-02-28</t>
  </si>
  <si>
    <t>Customer 0103</t>
  </si>
  <si>
    <t>2020-05-23</t>
  </si>
  <si>
    <t>Customer 0104</t>
  </si>
  <si>
    <t>Customer 0105</t>
  </si>
  <si>
    <t>Customer 0106</t>
  </si>
  <si>
    <t>2021-08-28</t>
  </si>
  <si>
    <t>Customer 0107</t>
  </si>
  <si>
    <t>2023-09-23</t>
  </si>
  <si>
    <t>Customer 0108</t>
  </si>
  <si>
    <t>2021-09-08</t>
  </si>
  <si>
    <t>Customer 0109</t>
  </si>
  <si>
    <t>2021-09-14</t>
  </si>
  <si>
    <t>Customer 0110</t>
  </si>
  <si>
    <t>2023-04-02</t>
  </si>
  <si>
    <t>Customer 0111</t>
  </si>
  <si>
    <t>2022-06-24</t>
  </si>
  <si>
    <t>Customer 0112</t>
  </si>
  <si>
    <t>2024-06-13</t>
  </si>
  <si>
    <t>Customer 0113</t>
  </si>
  <si>
    <t>2021-08-04</t>
  </si>
  <si>
    <t>Customer 0114</t>
  </si>
  <si>
    <t>2024-08-03</t>
  </si>
  <si>
    <t>Customer 0115</t>
  </si>
  <si>
    <t>2021-02-11</t>
  </si>
  <si>
    <t>Customer 0116</t>
  </si>
  <si>
    <t>2022-08-31</t>
  </si>
  <si>
    <t>Customer 0117</t>
  </si>
  <si>
    <t>2023-07-13</t>
  </si>
  <si>
    <t>Customer 0118</t>
  </si>
  <si>
    <t>2022-02-25</t>
  </si>
  <si>
    <t>Customer 0119</t>
  </si>
  <si>
    <t>2023-09-05</t>
  </si>
  <si>
    <t>Customer 0120</t>
  </si>
  <si>
    <t>2024-10-28</t>
  </si>
  <si>
    <t>Customer 0121</t>
  </si>
  <si>
    <t>2024-07-04</t>
  </si>
  <si>
    <t>Customer 0122</t>
  </si>
  <si>
    <t>2023-02-15</t>
  </si>
  <si>
    <t>Customer 0123</t>
  </si>
  <si>
    <t>2024-06-29</t>
  </si>
  <si>
    <t>Customer 0124</t>
  </si>
  <si>
    <t>Customer 0125</t>
  </si>
  <si>
    <t>2024-01-13</t>
  </si>
  <si>
    <t>Customer 0126</t>
  </si>
  <si>
    <t>2023-01-27</t>
  </si>
  <si>
    <t>Customer 0127</t>
  </si>
  <si>
    <t>2022-08-30</t>
  </si>
  <si>
    <t>Customer 0128</t>
  </si>
  <si>
    <t>2024-09-16</t>
  </si>
  <si>
    <t>Customer 0129</t>
  </si>
  <si>
    <t>2022-12-03</t>
  </si>
  <si>
    <t>Customer 0130</t>
  </si>
  <si>
    <t>2020-06-07</t>
  </si>
  <si>
    <t>Customer 0131</t>
  </si>
  <si>
    <t>2021-11-18</t>
  </si>
  <si>
    <t>Customer 0132</t>
  </si>
  <si>
    <t>2020-11-04</t>
  </si>
  <si>
    <t>Customer 0133</t>
  </si>
  <si>
    <t>Customer 0134</t>
  </si>
  <si>
    <t>2021-11-08</t>
  </si>
  <si>
    <t>Customer 0135</t>
  </si>
  <si>
    <t>2021-02-27</t>
  </si>
  <si>
    <t>Customer 0136</t>
  </si>
  <si>
    <t>Customer 0137</t>
  </si>
  <si>
    <t>Customer 0138</t>
  </si>
  <si>
    <t>2021-12-21</t>
  </si>
  <si>
    <t>Customer 0139</t>
  </si>
  <si>
    <t>Customer 0140</t>
  </si>
  <si>
    <t>2023-01-23</t>
  </si>
  <si>
    <t>Customer 0141</t>
  </si>
  <si>
    <t>2021-07-12</t>
  </si>
  <si>
    <t>Customer 0142</t>
  </si>
  <si>
    <t>2021-11-19</t>
  </si>
  <si>
    <t>Customer 0143</t>
  </si>
  <si>
    <t>2024-09-17</t>
  </si>
  <si>
    <t>Customer 0144</t>
  </si>
  <si>
    <t>2022-12-29</t>
  </si>
  <si>
    <t>Customer 0145</t>
  </si>
  <si>
    <t>2023-09-19</t>
  </si>
  <si>
    <t>Customer 0146</t>
  </si>
  <si>
    <t>2020-10-04</t>
  </si>
  <si>
    <t>Customer 0147</t>
  </si>
  <si>
    <t>2022-02-15</t>
  </si>
  <si>
    <t>Customer 0148</t>
  </si>
  <si>
    <t>2021-11-22</t>
  </si>
  <si>
    <t>Customer 0149</t>
  </si>
  <si>
    <t>Customer 0150</t>
  </si>
  <si>
    <t>2022-08-21</t>
  </si>
  <si>
    <t>Customer 0151</t>
  </si>
  <si>
    <t>2021-12-17</t>
  </si>
  <si>
    <t>Customer 0152</t>
  </si>
  <si>
    <t>Customer 0153</t>
  </si>
  <si>
    <t>2021-02-12</t>
  </si>
  <si>
    <t>Customer 0154</t>
  </si>
  <si>
    <t>2020-09-15</t>
  </si>
  <si>
    <t>Customer 0155</t>
  </si>
  <si>
    <t>2021-03-22</t>
  </si>
  <si>
    <t>Customer 0156</t>
  </si>
  <si>
    <t>2020-12-09</t>
  </si>
  <si>
    <t>Customer 0157</t>
  </si>
  <si>
    <t>2024-01-11</t>
  </si>
  <si>
    <t>Customer 0158</t>
  </si>
  <si>
    <t>2020-08-09</t>
  </si>
  <si>
    <t>Customer 0159</t>
  </si>
  <si>
    <t>2023-03-25</t>
  </si>
  <si>
    <t>Customer 0160</t>
  </si>
  <si>
    <t>Customer 0161</t>
  </si>
  <si>
    <t>Customer 0162</t>
  </si>
  <si>
    <t>Customer 0163</t>
  </si>
  <si>
    <t>Customer 0164</t>
  </si>
  <si>
    <t>2022-05-27</t>
  </si>
  <si>
    <t>Customer 0165</t>
  </si>
  <si>
    <t>Customer 0166</t>
  </si>
  <si>
    <t>Customer 0167</t>
  </si>
  <si>
    <t>2022-01-11</t>
  </si>
  <si>
    <t>Customer 0168</t>
  </si>
  <si>
    <t>2022-06-10</t>
  </si>
  <si>
    <t>Customer 0169</t>
  </si>
  <si>
    <t>2021-07-07</t>
  </si>
  <si>
    <t>Customer 0170</t>
  </si>
  <si>
    <t>2022-08-10</t>
  </si>
  <si>
    <t>Customer 0171</t>
  </si>
  <si>
    <t>Customer 0172</t>
  </si>
  <si>
    <t>2022-07-12</t>
  </si>
  <si>
    <t>Customer 0173</t>
  </si>
  <si>
    <t>2023-09-30</t>
  </si>
  <si>
    <t>Customer 0174</t>
  </si>
  <si>
    <t>Customer 0175</t>
  </si>
  <si>
    <t>2021-12-27</t>
  </si>
  <si>
    <t>Customer 0176</t>
  </si>
  <si>
    <t>Customer 0177</t>
  </si>
  <si>
    <t>2022-11-24</t>
  </si>
  <si>
    <t>Customer 0178</t>
  </si>
  <si>
    <t>2022-04-12</t>
  </si>
  <si>
    <t>Customer 0179</t>
  </si>
  <si>
    <t>2023-11-15</t>
  </si>
  <si>
    <t>Customer 0180</t>
  </si>
  <si>
    <t>2020-02-05</t>
  </si>
  <si>
    <t>Customer 0181</t>
  </si>
  <si>
    <t>2023-11-17</t>
  </si>
  <si>
    <t>Customer 0182</t>
  </si>
  <si>
    <t>2022-01-25</t>
  </si>
  <si>
    <t>Customer 0183</t>
  </si>
  <si>
    <t>2022-05-21</t>
  </si>
  <si>
    <t>Customer 0184</t>
  </si>
  <si>
    <t>2023-12-10</t>
  </si>
  <si>
    <t>Customer 0185</t>
  </si>
  <si>
    <t>2021-04-17</t>
  </si>
  <si>
    <t>Customer 0186</t>
  </si>
  <si>
    <t>2024-03-01</t>
  </si>
  <si>
    <t>Customer 0187</t>
  </si>
  <si>
    <t>Customer 0188</t>
  </si>
  <si>
    <t>Customer 0189</t>
  </si>
  <si>
    <t>2020-07-24</t>
  </si>
  <si>
    <t>Customer 0190</t>
  </si>
  <si>
    <t>2021-01-02</t>
  </si>
  <si>
    <t>Customer 0191</t>
  </si>
  <si>
    <t>2020-09-16</t>
  </si>
  <si>
    <t>Customer 0192</t>
  </si>
  <si>
    <t>Customer 0193</t>
  </si>
  <si>
    <t>2024-03-21</t>
  </si>
  <si>
    <t>Customer 0194</t>
  </si>
  <si>
    <t>2023-03-21</t>
  </si>
  <si>
    <t>Customer 0195</t>
  </si>
  <si>
    <t>2021-11-28</t>
  </si>
  <si>
    <t>Customer 0196</t>
  </si>
  <si>
    <t>2024-10-30</t>
  </si>
  <si>
    <t>Customer 0197</t>
  </si>
  <si>
    <t>2022-03-31</t>
  </si>
  <si>
    <t>Customer 0198</t>
  </si>
  <si>
    <t>2023-11-06</t>
  </si>
  <si>
    <t>Customer 0199</t>
  </si>
  <si>
    <t>2023-02-26</t>
  </si>
  <si>
    <t>Customer 0200</t>
  </si>
  <si>
    <t>2020-08-30</t>
  </si>
  <si>
    <t>Customer 0201</t>
  </si>
  <si>
    <t>2024-06-07</t>
  </si>
  <si>
    <t>Customer 0202</t>
  </si>
  <si>
    <t>2022-02-18</t>
  </si>
  <si>
    <t>Customer 0203</t>
  </si>
  <si>
    <t>Customer 0204</t>
  </si>
  <si>
    <t>2020-05-03</t>
  </si>
  <si>
    <t>Customer 0205</t>
  </si>
  <si>
    <t>2021-03-01</t>
  </si>
  <si>
    <t>Customer 0206</t>
  </si>
  <si>
    <t>2020-06-15</t>
  </si>
  <si>
    <t>Customer 0207</t>
  </si>
  <si>
    <t>2020-06-02</t>
  </si>
  <si>
    <t>Customer 0208</t>
  </si>
  <si>
    <t>Customer 0209</t>
  </si>
  <si>
    <t>2021-04-19</t>
  </si>
  <si>
    <t>Customer 0210</t>
  </si>
  <si>
    <t>2022-07-18</t>
  </si>
  <si>
    <t>Customer 0211</t>
  </si>
  <si>
    <t>Customer 0212</t>
  </si>
  <si>
    <t>2021-02-09</t>
  </si>
  <si>
    <t>Customer 0213</t>
  </si>
  <si>
    <t>Customer 0214</t>
  </si>
  <si>
    <t>2020-05-26</t>
  </si>
  <si>
    <t>Customer 0215</t>
  </si>
  <si>
    <t>Customer 0216</t>
  </si>
  <si>
    <t>2022-06-18</t>
  </si>
  <si>
    <t>Customer 0217</t>
  </si>
  <si>
    <t>2023-12-04</t>
  </si>
  <si>
    <t>Customer 0218</t>
  </si>
  <si>
    <t>2022-10-08</t>
  </si>
  <si>
    <t>Customer 0219</t>
  </si>
  <si>
    <t>2022-06-03</t>
  </si>
  <si>
    <t>Customer 0220</t>
  </si>
  <si>
    <t>2020-02-22</t>
  </si>
  <si>
    <t>category</t>
  </si>
  <si>
    <t>product_name</t>
  </si>
  <si>
    <t>cost_price</t>
  </si>
  <si>
    <t>selling_price</t>
  </si>
  <si>
    <t>Sports</t>
  </si>
  <si>
    <t>Product 001</t>
  </si>
  <si>
    <t>Electronics</t>
  </si>
  <si>
    <t>Product 002</t>
  </si>
  <si>
    <t>Product 003</t>
  </si>
  <si>
    <t>Product 004</t>
  </si>
  <si>
    <t>Clothing</t>
  </si>
  <si>
    <t>Product 005</t>
  </si>
  <si>
    <t>Home</t>
  </si>
  <si>
    <t>Product 006</t>
  </si>
  <si>
    <t>Product 007</t>
  </si>
  <si>
    <t>Product 008</t>
  </si>
  <si>
    <t>Product 009</t>
  </si>
  <si>
    <t>Product 010</t>
  </si>
  <si>
    <t>Product 011</t>
  </si>
  <si>
    <t>Product 012</t>
  </si>
  <si>
    <t>Beauty</t>
  </si>
  <si>
    <t>Product 013</t>
  </si>
  <si>
    <t>Product 014</t>
  </si>
  <si>
    <t>Product 015</t>
  </si>
  <si>
    <t>Toys</t>
  </si>
  <si>
    <t>Product 016</t>
  </si>
  <si>
    <t>Product 017</t>
  </si>
  <si>
    <t>Product 018</t>
  </si>
  <si>
    <t>Product 019</t>
  </si>
  <si>
    <t>Product 020</t>
  </si>
  <si>
    <t>Product 021</t>
  </si>
  <si>
    <t>Product 022</t>
  </si>
  <si>
    <t>Product 023</t>
  </si>
  <si>
    <t>Product 024</t>
  </si>
  <si>
    <t>Product 025</t>
  </si>
  <si>
    <t>Product 026</t>
  </si>
  <si>
    <t>Product 027</t>
  </si>
  <si>
    <t>Product 028</t>
  </si>
  <si>
    <t>Product 029</t>
  </si>
  <si>
    <t>Product 030</t>
  </si>
  <si>
    <t>Product 031</t>
  </si>
  <si>
    <t>Product 032</t>
  </si>
  <si>
    <t>Product 033</t>
  </si>
  <si>
    <t>Product 034</t>
  </si>
  <si>
    <t>Product 035</t>
  </si>
  <si>
    <t>Groceries</t>
  </si>
  <si>
    <t>Product 036</t>
  </si>
  <si>
    <t>Product 037</t>
  </si>
  <si>
    <t>Product 038</t>
  </si>
  <si>
    <t>Product 039</t>
  </si>
  <si>
    <t>Product 040</t>
  </si>
  <si>
    <t>Product 041</t>
  </si>
  <si>
    <t>Product 042</t>
  </si>
  <si>
    <t>Product 043</t>
  </si>
  <si>
    <t>Product 044</t>
  </si>
  <si>
    <t>Product 045</t>
  </si>
  <si>
    <t>Product 046</t>
  </si>
  <si>
    <t>Product 047</t>
  </si>
  <si>
    <t>Product 048</t>
  </si>
  <si>
    <t>Product 049</t>
  </si>
  <si>
    <t>Product 050</t>
  </si>
  <si>
    <t>Product 051</t>
  </si>
  <si>
    <t>Product 052</t>
  </si>
  <si>
    <t>Product 053</t>
  </si>
  <si>
    <t>Product 054</t>
  </si>
  <si>
    <t>Product 055</t>
  </si>
  <si>
    <t>Product 056</t>
  </si>
  <si>
    <t>Product 057</t>
  </si>
  <si>
    <t>Product 058</t>
  </si>
  <si>
    <t>Product 059</t>
  </si>
  <si>
    <t>Product 060</t>
  </si>
  <si>
    <t>Product 061</t>
  </si>
  <si>
    <t>Product 062</t>
  </si>
  <si>
    <t>Product 063</t>
  </si>
  <si>
    <t>Product 064</t>
  </si>
  <si>
    <t>Product 065</t>
  </si>
  <si>
    <t>Product 066</t>
  </si>
  <si>
    <t>Product 067</t>
  </si>
  <si>
    <t>Product 068</t>
  </si>
  <si>
    <t>Product 069</t>
  </si>
  <si>
    <t>Product 070</t>
  </si>
  <si>
    <t>Product 071</t>
  </si>
  <si>
    <t>Product 072</t>
  </si>
  <si>
    <t>Product 073</t>
  </si>
  <si>
    <t>Product 074</t>
  </si>
  <si>
    <t>Product 075</t>
  </si>
  <si>
    <t>Product 076</t>
  </si>
  <si>
    <t>Product 077</t>
  </si>
  <si>
    <t>Product 078</t>
  </si>
  <si>
    <t>Product 079</t>
  </si>
  <si>
    <t>Product 080</t>
  </si>
  <si>
    <t>Product 081</t>
  </si>
  <si>
    <t>Product 082</t>
  </si>
  <si>
    <t>Product 083</t>
  </si>
  <si>
    <t>Product 084</t>
  </si>
  <si>
    <t>Product 085</t>
  </si>
  <si>
    <t>Product 086</t>
  </si>
  <si>
    <t>Product 087</t>
  </si>
  <si>
    <t>Product 088</t>
  </si>
  <si>
    <t>Product 089</t>
  </si>
  <si>
    <t>Product 090</t>
  </si>
  <si>
    <t>Product 091</t>
  </si>
  <si>
    <t>Product 092</t>
  </si>
  <si>
    <t>Product 093</t>
  </si>
  <si>
    <t>Product 094</t>
  </si>
  <si>
    <t>Product 095</t>
  </si>
  <si>
    <t>Product 096</t>
  </si>
  <si>
    <t>Product 097</t>
  </si>
  <si>
    <t>Product 098</t>
  </si>
  <si>
    <t>Product 099</t>
  </si>
  <si>
    <t>Product 100</t>
  </si>
  <si>
    <t>profit_per_sale</t>
  </si>
  <si>
    <t>Games</t>
  </si>
  <si>
    <t>Shoes</t>
  </si>
  <si>
    <t>Phones</t>
  </si>
  <si>
    <t>Jewelry</t>
  </si>
  <si>
    <t>Women's Fashion</t>
  </si>
  <si>
    <t>Discount_amount</t>
  </si>
  <si>
    <t>Branch_id</t>
  </si>
  <si>
    <t>N02</t>
  </si>
  <si>
    <t>S01</t>
  </si>
  <si>
    <t>C02</t>
  </si>
  <si>
    <t>S02</t>
  </si>
  <si>
    <t>W01</t>
  </si>
  <si>
    <t>E02</t>
  </si>
  <si>
    <t>W02</t>
  </si>
  <si>
    <t>C01</t>
  </si>
  <si>
    <t>N01</t>
  </si>
  <si>
    <t>E01</t>
  </si>
  <si>
    <t>P.id01</t>
  </si>
  <si>
    <t>P.id02</t>
  </si>
  <si>
    <t>P.id03</t>
  </si>
  <si>
    <t>P.id04</t>
  </si>
  <si>
    <t>P.id05</t>
  </si>
  <si>
    <t>P.id06</t>
  </si>
  <si>
    <t>P.id07</t>
  </si>
  <si>
    <t>P.id08</t>
  </si>
  <si>
    <t>P.id09</t>
  </si>
  <si>
    <t>P.id10</t>
  </si>
  <si>
    <t>P.id11</t>
  </si>
  <si>
    <t>P.id12</t>
  </si>
  <si>
    <t>Month</t>
  </si>
  <si>
    <t>Row Labels</t>
  </si>
  <si>
    <t>Grand Total</t>
  </si>
  <si>
    <t>Sum of total_amount</t>
  </si>
  <si>
    <t>May</t>
  </si>
  <si>
    <t>Dec</t>
  </si>
  <si>
    <t>Nov</t>
  </si>
  <si>
    <t>Oct</t>
  </si>
  <si>
    <t>Sep</t>
  </si>
  <si>
    <t>Aug</t>
  </si>
  <si>
    <t>Jul</t>
  </si>
  <si>
    <t>Jun</t>
  </si>
  <si>
    <t>Apr</t>
  </si>
  <si>
    <t>Mar</t>
  </si>
  <si>
    <t>Feb</t>
  </si>
  <si>
    <t>Jan</t>
  </si>
  <si>
    <t>customer23</t>
  </si>
  <si>
    <t>customer20</t>
  </si>
  <si>
    <t>customer14</t>
  </si>
  <si>
    <t>customer49</t>
  </si>
  <si>
    <t>customer116</t>
  </si>
  <si>
    <t>customer83</t>
  </si>
  <si>
    <t>customer28</t>
  </si>
  <si>
    <t>customer176</t>
  </si>
  <si>
    <t>customer6</t>
  </si>
  <si>
    <t>customer185</t>
  </si>
  <si>
    <t>customer26</t>
  </si>
  <si>
    <t>customer120</t>
  </si>
  <si>
    <t>customer75</t>
  </si>
  <si>
    <t>customer34</t>
  </si>
  <si>
    <t>customer190</t>
  </si>
  <si>
    <t>customer173</t>
  </si>
  <si>
    <t>customer9</t>
  </si>
  <si>
    <t>customer52</t>
  </si>
  <si>
    <t>customer151</t>
  </si>
  <si>
    <t>customer71</t>
  </si>
  <si>
    <t>customer157</t>
  </si>
  <si>
    <t>customer121</t>
  </si>
  <si>
    <t>customer24</t>
  </si>
  <si>
    <t>customer188</t>
  </si>
  <si>
    <t>customer128</t>
  </si>
  <si>
    <t>customer91</t>
  </si>
  <si>
    <t>customer213</t>
  </si>
  <si>
    <t>customer168</t>
  </si>
  <si>
    <t>customer76</t>
  </si>
  <si>
    <t>customer66</t>
  </si>
  <si>
    <t>customer209</t>
  </si>
  <si>
    <t>customer165</t>
  </si>
  <si>
    <t>customer60</t>
  </si>
  <si>
    <t>customer181</t>
  </si>
  <si>
    <t>customer4</t>
  </si>
  <si>
    <t>customer149</t>
  </si>
  <si>
    <t>customer44</t>
  </si>
  <si>
    <t>customer65</t>
  </si>
  <si>
    <t>customer220</t>
  </si>
  <si>
    <t>customer147</t>
  </si>
  <si>
    <t>customer43</t>
  </si>
  <si>
    <t>customer172</t>
  </si>
  <si>
    <t>customer214</t>
  </si>
  <si>
    <t>customer199</t>
  </si>
  <si>
    <t>customer119</t>
  </si>
  <si>
    <t>customer81</t>
  </si>
  <si>
    <t>customer53</t>
  </si>
  <si>
    <t>customer3</t>
  </si>
  <si>
    <t>customer124</t>
  </si>
  <si>
    <t>customer37</t>
  </si>
  <si>
    <t>customer202</t>
  </si>
  <si>
    <t>customer92</t>
  </si>
  <si>
    <t>customer17</t>
  </si>
  <si>
    <t>customer106</t>
  </si>
  <si>
    <t>customer86</t>
  </si>
  <si>
    <t>customer148</t>
  </si>
  <si>
    <t>customer169</t>
  </si>
  <si>
    <t>customer164</t>
  </si>
  <si>
    <t>customer67</t>
  </si>
  <si>
    <t>customer138</t>
  </si>
  <si>
    <t>customer216</t>
  </si>
  <si>
    <t>customer87</t>
  </si>
  <si>
    <t>customer61</t>
  </si>
  <si>
    <t>customer58</t>
  </si>
  <si>
    <t>customer143</t>
  </si>
  <si>
    <t>customer80</t>
  </si>
  <si>
    <t>customer54</t>
  </si>
  <si>
    <t>customer38</t>
  </si>
  <si>
    <t>customer146</t>
  </si>
  <si>
    <t>customer112</t>
  </si>
  <si>
    <t>customer16</t>
  </si>
  <si>
    <t>customer33</t>
  </si>
  <si>
    <t>customer32</t>
  </si>
  <si>
    <t>customer77</t>
  </si>
  <si>
    <t>customer134</t>
  </si>
  <si>
    <t>customer200</t>
  </si>
  <si>
    <t>customer122</t>
  </si>
  <si>
    <t>customer129</t>
  </si>
  <si>
    <t>customer7</t>
  </si>
  <si>
    <t>customer96</t>
  </si>
  <si>
    <t>customer78</t>
  </si>
  <si>
    <t>customer35</t>
  </si>
  <si>
    <t>customer215</t>
  </si>
  <si>
    <t>customer162</t>
  </si>
  <si>
    <t>customer161</t>
  </si>
  <si>
    <t>customer57</t>
  </si>
  <si>
    <t>customer18</t>
  </si>
  <si>
    <t>customer205</t>
  </si>
  <si>
    <t>customer118</t>
  </si>
  <si>
    <t>customer137</t>
  </si>
  <si>
    <t>customer160</t>
  </si>
  <si>
    <t>customer48</t>
  </si>
  <si>
    <t>customer40</t>
  </si>
  <si>
    <t>customer8</t>
  </si>
  <si>
    <t>customer141</t>
  </si>
  <si>
    <t>customer219</t>
  </si>
  <si>
    <t>customer27</t>
  </si>
  <si>
    <t>customer2</t>
  </si>
  <si>
    <t>customer13</t>
  </si>
  <si>
    <t>customer163</t>
  </si>
  <si>
    <t>customer62</t>
  </si>
  <si>
    <t>customer125</t>
  </si>
  <si>
    <t>customer187</t>
  </si>
  <si>
    <t>customer194</t>
  </si>
  <si>
    <t>customer102</t>
  </si>
  <si>
    <t>customer166</t>
  </si>
  <si>
    <t>customer192</t>
  </si>
  <si>
    <t>customer207</t>
  </si>
  <si>
    <t>customer152</t>
  </si>
  <si>
    <t>customer88</t>
  </si>
  <si>
    <t>customer145</t>
  </si>
  <si>
    <t>customer175</t>
  </si>
  <si>
    <t>customer51</t>
  </si>
  <si>
    <t>customer158</t>
  </si>
  <si>
    <t>customer25</t>
  </si>
  <si>
    <t>customer19</t>
  </si>
  <si>
    <t>customer142</t>
  </si>
  <si>
    <t>customer135</t>
  </si>
  <si>
    <t>customer210</t>
  </si>
  <si>
    <t>customer56</t>
  </si>
  <si>
    <t>customer93</t>
  </si>
  <si>
    <t>customer79</t>
  </si>
  <si>
    <t>customer136</t>
  </si>
  <si>
    <t>customer63</t>
  </si>
  <si>
    <t>customer179</t>
  </si>
  <si>
    <t>customer218</t>
  </si>
  <si>
    <t>customer69</t>
  </si>
  <si>
    <t>customer97</t>
  </si>
  <si>
    <t>customer47</t>
  </si>
  <si>
    <t>customer59</t>
  </si>
  <si>
    <t>customer206</t>
  </si>
  <si>
    <t>customer144</t>
  </si>
  <si>
    <t>customer45</t>
  </si>
  <si>
    <t>customer196</t>
  </si>
  <si>
    <t>customer156</t>
  </si>
  <si>
    <t>customer208</t>
  </si>
  <si>
    <t>customer189</t>
  </si>
  <si>
    <t>customer42</t>
  </si>
  <si>
    <t>customer123</t>
  </si>
  <si>
    <t>customer101</t>
  </si>
  <si>
    <t>customer11</t>
  </si>
  <si>
    <t>customer55</t>
  </si>
  <si>
    <t>customer193</t>
  </si>
  <si>
    <t>customer180</t>
  </si>
  <si>
    <t>customer68</t>
  </si>
  <si>
    <t>customer131</t>
  </si>
  <si>
    <t>customer184</t>
  </si>
  <si>
    <t>customer107</t>
  </si>
  <si>
    <t>customer39</t>
  </si>
  <si>
    <t>customer73</t>
  </si>
  <si>
    <t>customer191</t>
  </si>
  <si>
    <t>customer153</t>
  </si>
  <si>
    <t>customer95</t>
  </si>
  <si>
    <t>customer22</t>
  </si>
  <si>
    <t>customer12</t>
  </si>
  <si>
    <t>customer111</t>
  </si>
  <si>
    <t>customer104</t>
  </si>
  <si>
    <t>customer50</t>
  </si>
  <si>
    <t>customer89</t>
  </si>
  <si>
    <t>customer29</t>
  </si>
  <si>
    <t>customer204</t>
  </si>
  <si>
    <t>customer98</t>
  </si>
  <si>
    <t>customer99</t>
  </si>
  <si>
    <t>customer30</t>
  </si>
  <si>
    <t>customer177</t>
  </si>
  <si>
    <t>customer105</t>
  </si>
  <si>
    <t>customer64</t>
  </si>
  <si>
    <t>customer186</t>
  </si>
  <si>
    <t>customer212</t>
  </si>
  <si>
    <t>customer90</t>
  </si>
  <si>
    <t>customer21</t>
  </si>
  <si>
    <t>customer113</t>
  </si>
  <si>
    <t>customer178</t>
  </si>
  <si>
    <t>customer126</t>
  </si>
  <si>
    <t>customer70</t>
  </si>
  <si>
    <t>customer170</t>
  </si>
  <si>
    <t>customer114</t>
  </si>
  <si>
    <t>customer127</t>
  </si>
  <si>
    <t>customer171</t>
  </si>
  <si>
    <t>customer94</t>
  </si>
  <si>
    <t>customer74</t>
  </si>
  <si>
    <t>customer133</t>
  </si>
  <si>
    <t>customer159</t>
  </si>
  <si>
    <t>customer31</t>
  </si>
  <si>
    <t>customer103</t>
  </si>
  <si>
    <t>customer110</t>
  </si>
  <si>
    <t>customer46</t>
  </si>
  <si>
    <t>customer211</t>
  </si>
  <si>
    <t>customer117</t>
  </si>
  <si>
    <t>customer115</t>
  </si>
  <si>
    <t>customer174</t>
  </si>
  <si>
    <t>customer198</t>
  </si>
  <si>
    <t>customer217</t>
  </si>
  <si>
    <t>customer85</t>
  </si>
  <si>
    <t>customer15</t>
  </si>
  <si>
    <t>customer150</t>
  </si>
  <si>
    <t>customer10</t>
  </si>
  <si>
    <t>customer5</t>
  </si>
  <si>
    <t>customer36</t>
  </si>
  <si>
    <t>customer84</t>
  </si>
  <si>
    <t>customer130</t>
  </si>
  <si>
    <t>customer109</t>
  </si>
  <si>
    <t>customer195</t>
  </si>
  <si>
    <t>customer167</t>
  </si>
  <si>
    <t>customer154</t>
  </si>
  <si>
    <t>customer203</t>
  </si>
  <si>
    <t>customer140</t>
  </si>
  <si>
    <t>customer100</t>
  </si>
  <si>
    <t>customer155</t>
  </si>
  <si>
    <t>customer132</t>
  </si>
  <si>
    <t>customer201</t>
  </si>
  <si>
    <t>customer108</t>
  </si>
  <si>
    <t>customer197</t>
  </si>
  <si>
    <t>customer139</t>
  </si>
  <si>
    <t>Product_category</t>
  </si>
  <si>
    <t>profitperSales</t>
  </si>
  <si>
    <t>product_key</t>
  </si>
  <si>
    <t>Sum of profitperSales</t>
  </si>
  <si>
    <t>Average of total_amount</t>
  </si>
  <si>
    <t>Count of customer_id</t>
  </si>
  <si>
    <t>Sum of Discount_amount</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</si>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</sst>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F800]dddd\,\ mmmm\ dd\,\ yyyy"/>
    <numFmt numFmtId="166" formatCode="[&gt;=1000000]&quot;$&quot;#,##0.0,,&quot;M&quot;;[&gt;=1000]&quot;$&quot;#,##0.0,&quot;K&quot;;&quot;$&quot;#,##0"/>
    <numFmt numFmtId="167" formatCode="&quot;$&quot;#,##0.0,&quot;K&quot;"/>
  </numFmts>
  <fonts count="7" x14ac:knownFonts="1">
    <font>
      <sz val="11"/>
      <color theme="1"/>
      <name val="Calibri"/>
      <family val="2"/>
      <scheme val="minor"/>
    </font>
    <font>
      <b/>
      <sz val="11"/>
      <name val="Calibri"/>
      <family val="2"/>
    </font>
    <font>
      <sz val="11"/>
      <color theme="1"/>
      <name val="Calibri"/>
      <family val="2"/>
      <scheme val="minor"/>
    </font>
    <font>
      <b/>
      <sz val="11"/>
      <name val="Calibri"/>
      <family val="2"/>
    </font>
    <font>
      <sz val="8"/>
      <name val="Calibri"/>
      <family val="2"/>
      <scheme val="minor"/>
    </font>
    <font>
      <b/>
      <sz val="11"/>
      <name val="Calibri"/>
      <family val="2"/>
    </font>
    <font>
      <sz val="11"/>
      <color theme="1" tint="0.499984740745262"/>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499984740745262"/>
        <bgColor indexed="64"/>
      </patternFill>
    </fill>
  </fills>
  <borders count="6">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theme="0"/>
      </left>
      <right style="thin">
        <color theme="0"/>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2" borderId="3" xfId="0" applyFill="1" applyBorder="1"/>
    <xf numFmtId="0" fontId="0" fillId="3" borderId="2" xfId="0" applyFill="1" applyBorder="1"/>
    <xf numFmtId="0" fontId="0" fillId="3" borderId="3" xfId="0" applyFill="1" applyBorder="1"/>
    <xf numFmtId="44" fontId="1" fillId="0" borderId="1" xfId="1" applyFont="1" applyBorder="1" applyAlignment="1">
      <alignment horizontal="center" vertical="top"/>
    </xf>
    <xf numFmtId="44" fontId="0" fillId="0" borderId="0" xfId="1" applyFont="1"/>
    <xf numFmtId="14" fontId="0" fillId="0" borderId="0" xfId="0" applyNumberFormat="1"/>
    <xf numFmtId="0" fontId="3" fillId="4" borderId="4" xfId="0" applyFont="1" applyFill="1" applyBorder="1" applyAlignment="1">
      <alignment horizontal="center" vertical="top"/>
    </xf>
    <xf numFmtId="0" fontId="0" fillId="3" borderId="5" xfId="0" applyFill="1" applyBorder="1"/>
    <xf numFmtId="0" fontId="0" fillId="2" borderId="5" xfId="0" applyFill="1" applyBorder="1"/>
    <xf numFmtId="165" fontId="0" fillId="0" borderId="0" xfId="0" applyNumberFormat="1"/>
    <xf numFmtId="0" fontId="0" fillId="0" borderId="0" xfId="0" pivotButton="1"/>
    <xf numFmtId="0" fontId="0" fillId="0" borderId="0" xfId="0" applyAlignment="1">
      <alignment horizontal="left"/>
    </xf>
    <xf numFmtId="0" fontId="5" fillId="0" borderId="1" xfId="0" applyFont="1" applyBorder="1" applyAlignment="1">
      <alignment horizontal="center" vertical="top"/>
    </xf>
    <xf numFmtId="2" fontId="0" fillId="0" borderId="0" xfId="0" applyNumberFormat="1"/>
    <xf numFmtId="10" fontId="0" fillId="0" borderId="0" xfId="0" applyNumberFormat="1"/>
    <xf numFmtId="9" fontId="0" fillId="0" borderId="0" xfId="0" pivotButton="1" applyNumberFormat="1"/>
    <xf numFmtId="9" fontId="0" fillId="0" borderId="0" xfId="0" applyNumberFormat="1" applyAlignment="1">
      <alignment horizontal="left"/>
    </xf>
    <xf numFmtId="9" fontId="0" fillId="0" borderId="0" xfId="2" applyFont="1"/>
    <xf numFmtId="166" fontId="0" fillId="0" borderId="0" xfId="0" applyNumberFormat="1"/>
    <xf numFmtId="167" fontId="0" fillId="0" borderId="0" xfId="0" applyNumberFormat="1"/>
    <xf numFmtId="9" fontId="0" fillId="0" borderId="0" xfId="0" applyNumberFormat="1"/>
    <xf numFmtId="0" fontId="6" fillId="5" borderId="0" xfId="0" applyFont="1" applyFill="1"/>
    <xf numFmtId="0" fontId="0" fillId="0" borderId="0" xfId="0" applyNumberFormat="1"/>
  </cellXfs>
  <cellStyles count="3">
    <cellStyle name="Currency" xfId="1" builtinId="4"/>
    <cellStyle name="Normal" xfId="0" builtinId="0"/>
    <cellStyle name="Percent" xfId="2" builtinId="5"/>
  </cellStyles>
  <dxfs count="664">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9" formatCode="m/d/yyyy"/>
    </dxf>
    <dxf>
      <numFmt numFmtId="0" formatCode="General"/>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164" formatCode="&quot;$&quot;#,##0.00"/>
    </dxf>
    <dxf>
      <numFmt numFmtId="0" formatCode="General"/>
    </dxf>
    <dxf>
      <numFmt numFmtId="164" formatCode="&quot;$&quot;#,##0.00"/>
    </dxf>
    <dxf>
      <numFmt numFmtId="164" formatCode="&quot;$&quot;#,##0.00"/>
    </dxf>
    <dxf>
      <numFmt numFmtId="0" formatCode="General"/>
    </dxf>
    <dxf>
      <numFmt numFmtId="0" formatCode="General"/>
    </dxf>
    <dxf>
      <numFmt numFmtId="19" formatCode="m/d/yyyy"/>
    </dxf>
    <dxf>
      <numFmt numFmtId="19" formatCode="m/d/yyyy"/>
    </dxf>
    <dxf>
      <numFmt numFmtId="19" formatCode="m/d/yyyy"/>
    </dxf>
    <dxf>
      <numFmt numFmtId="164" formatCode="&quot;$&quot;#,##0.00"/>
    </dxf>
    <dxf>
      <numFmt numFmtId="164" formatCode="&quot;$&quot;#,##0.00"/>
    </dxf>
    <dxf>
      <numFmt numFmtId="0" formatCode="General"/>
    </dxf>
    <dxf>
      <numFmt numFmtId="13" formatCode="0%"/>
    </dxf>
    <dxf>
      <numFmt numFmtId="13" formatCode="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0C0C0"/>
      <color rgb="FFFFC305"/>
      <color rgb="FFD2A000"/>
      <color rgb="FF89CC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&amp; Customer Insights Systems.xlsx]Sheet4!PivotTable12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648293963254"/>
          <c:y val="7.407407407407407E-2"/>
          <c:w val="0.86486351706036746"/>
          <c:h val="0.8416746864975212"/>
        </c:manualLayout>
      </c:layout>
      <c:barChart>
        <c:barDir val="col"/>
        <c:grouping val="clustered"/>
        <c:varyColors val="0"/>
        <c:ser>
          <c:idx val="0"/>
          <c:order val="0"/>
          <c:tx>
            <c:strRef>
              <c:f>Sheet4!$F$36</c:f>
              <c:strCache>
                <c:ptCount val="1"/>
                <c:pt idx="0">
                  <c:v>Count of customer_id</c:v>
                </c:pt>
              </c:strCache>
            </c:strRef>
          </c:tx>
          <c:spPr>
            <a:solidFill>
              <a:schemeClr val="accent1"/>
            </a:solidFill>
            <a:ln>
              <a:noFill/>
            </a:ln>
            <a:effectLst/>
          </c:spPr>
          <c:invertIfNegative val="0"/>
          <c:cat>
            <c:strRef>
              <c:f>Sheet4!$E$37:$E$41</c:f>
              <c:strCache>
                <c:ptCount val="4"/>
                <c:pt idx="0">
                  <c:v>Bronze</c:v>
                </c:pt>
                <c:pt idx="1">
                  <c:v>Silver</c:v>
                </c:pt>
                <c:pt idx="2">
                  <c:v>Gold</c:v>
                </c:pt>
                <c:pt idx="3">
                  <c:v>Platinum</c:v>
                </c:pt>
              </c:strCache>
            </c:strRef>
          </c:cat>
          <c:val>
            <c:numRef>
              <c:f>Sheet4!$F$37:$F$41</c:f>
              <c:numCache>
                <c:formatCode>0.00%</c:formatCode>
                <c:ptCount val="4"/>
                <c:pt idx="0">
                  <c:v>0.42749999999999999</c:v>
                </c:pt>
                <c:pt idx="1">
                  <c:v>0.35</c:v>
                </c:pt>
                <c:pt idx="2">
                  <c:v>0.155</c:v>
                </c:pt>
                <c:pt idx="3">
                  <c:v>6.7500000000000004E-2</c:v>
                </c:pt>
              </c:numCache>
            </c:numRef>
          </c:val>
          <c:extLst>
            <c:ext xmlns:c16="http://schemas.microsoft.com/office/drawing/2014/chart" uri="{C3380CC4-5D6E-409C-BE32-E72D297353CC}">
              <c16:uniqueId val="{00000000-079A-425F-9387-1483267B5A98}"/>
            </c:ext>
          </c:extLst>
        </c:ser>
        <c:ser>
          <c:idx val="1"/>
          <c:order val="1"/>
          <c:tx>
            <c:strRef>
              <c:f>Sheet4!$G$36</c:f>
              <c:strCache>
                <c:ptCount val="1"/>
                <c:pt idx="0">
                  <c:v>Sum of total_amount</c:v>
                </c:pt>
              </c:strCache>
            </c:strRef>
          </c:tx>
          <c:spPr>
            <a:solidFill>
              <a:schemeClr val="accent2"/>
            </a:solidFill>
            <a:ln>
              <a:noFill/>
            </a:ln>
            <a:effectLst/>
          </c:spPr>
          <c:invertIfNegative val="0"/>
          <c:cat>
            <c:strRef>
              <c:f>Sheet4!$E$37:$E$41</c:f>
              <c:strCache>
                <c:ptCount val="4"/>
                <c:pt idx="0">
                  <c:v>Bronze</c:v>
                </c:pt>
                <c:pt idx="1">
                  <c:v>Silver</c:v>
                </c:pt>
                <c:pt idx="2">
                  <c:v>Gold</c:v>
                </c:pt>
                <c:pt idx="3">
                  <c:v>Platinum</c:v>
                </c:pt>
              </c:strCache>
            </c:strRef>
          </c:cat>
          <c:val>
            <c:numRef>
              <c:f>Sheet4!$G$37:$G$41</c:f>
              <c:numCache>
                <c:formatCode>"$"#,##0.00</c:formatCode>
                <c:ptCount val="4"/>
                <c:pt idx="0">
                  <c:v>59698.367499999877</c:v>
                </c:pt>
                <c:pt idx="1">
                  <c:v>51319.72099999991</c:v>
                </c:pt>
                <c:pt idx="2">
                  <c:v>23827.184000000008</c:v>
                </c:pt>
                <c:pt idx="3">
                  <c:v>8713.2219999999961</c:v>
                </c:pt>
              </c:numCache>
            </c:numRef>
          </c:val>
          <c:extLst>
            <c:ext xmlns:c16="http://schemas.microsoft.com/office/drawing/2014/chart" uri="{C3380CC4-5D6E-409C-BE32-E72D297353CC}">
              <c16:uniqueId val="{00000001-079A-425F-9387-1483267B5A98}"/>
            </c:ext>
          </c:extLst>
        </c:ser>
        <c:dLbls>
          <c:showLegendKey val="0"/>
          <c:showVal val="0"/>
          <c:showCatName val="0"/>
          <c:showSerName val="0"/>
          <c:showPercent val="0"/>
          <c:showBubbleSize val="0"/>
        </c:dLbls>
        <c:gapWidth val="219"/>
        <c:overlap val="-27"/>
        <c:axId val="838916287"/>
        <c:axId val="838912543"/>
      </c:barChart>
      <c:catAx>
        <c:axId val="83891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12543"/>
        <c:crosses val="autoZero"/>
        <c:auto val="1"/>
        <c:lblAlgn val="ctr"/>
        <c:lblOffset val="100"/>
        <c:noMultiLvlLbl val="0"/>
      </c:catAx>
      <c:valAx>
        <c:axId val="838912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1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&amp; Customer Insights Systems.xlsx]Sheet4!PivotTable8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Sum of total_amount</c:v>
                </c:pt>
              </c:strCache>
            </c:strRef>
          </c:tx>
          <c:spPr>
            <a:solidFill>
              <a:schemeClr val="accent1"/>
            </a:solidFill>
            <a:ln>
              <a:noFill/>
            </a:ln>
            <a:effectLst/>
          </c:spPr>
          <c:invertIfNegative val="0"/>
          <c:cat>
            <c:strRef>
              <c:f>Sheet4!$A$2:$A$6</c:f>
              <c:strCache>
                <c:ptCount val="4"/>
                <c:pt idx="0">
                  <c:v>0</c:v>
                </c:pt>
                <c:pt idx="1">
                  <c:v>0.1</c:v>
                </c:pt>
                <c:pt idx="2">
                  <c:v>0.15</c:v>
                </c:pt>
                <c:pt idx="3">
                  <c:v>0.2</c:v>
                </c:pt>
              </c:strCache>
            </c:strRef>
          </c:cat>
          <c:val>
            <c:numRef>
              <c:f>Sheet4!$B$2:$B$6</c:f>
              <c:numCache>
                <c:formatCode>"$"#,##0.00</c:formatCode>
                <c:ptCount val="4"/>
                <c:pt idx="0">
                  <c:v>19433.050000000036</c:v>
                </c:pt>
                <c:pt idx="1">
                  <c:v>61727.381999999801</c:v>
                </c:pt>
                <c:pt idx="2">
                  <c:v>30814.854499999976</c:v>
                </c:pt>
                <c:pt idx="3">
                  <c:v>31583.208000000006</c:v>
                </c:pt>
              </c:numCache>
            </c:numRef>
          </c:val>
          <c:extLst>
            <c:ext xmlns:c16="http://schemas.microsoft.com/office/drawing/2014/chart" uri="{C3380CC4-5D6E-409C-BE32-E72D297353CC}">
              <c16:uniqueId val="{00000000-BB60-406B-9ACA-55565AF28494}"/>
            </c:ext>
          </c:extLst>
        </c:ser>
        <c:ser>
          <c:idx val="1"/>
          <c:order val="1"/>
          <c:tx>
            <c:strRef>
              <c:f>Sheet4!$C$1</c:f>
              <c:strCache>
                <c:ptCount val="1"/>
                <c:pt idx="0">
                  <c:v>Sum of profitperSales</c:v>
                </c:pt>
              </c:strCache>
            </c:strRef>
          </c:tx>
          <c:spPr>
            <a:solidFill>
              <a:schemeClr val="accent2"/>
            </a:solidFill>
            <a:ln>
              <a:noFill/>
            </a:ln>
            <a:effectLst/>
          </c:spPr>
          <c:invertIfNegative val="0"/>
          <c:cat>
            <c:strRef>
              <c:f>Sheet4!$A$2:$A$6</c:f>
              <c:strCache>
                <c:ptCount val="4"/>
                <c:pt idx="0">
                  <c:v>0</c:v>
                </c:pt>
                <c:pt idx="1">
                  <c:v>0.1</c:v>
                </c:pt>
                <c:pt idx="2">
                  <c:v>0.15</c:v>
                </c:pt>
                <c:pt idx="3">
                  <c:v>0.2</c:v>
                </c:pt>
              </c:strCache>
            </c:strRef>
          </c:cat>
          <c:val>
            <c:numRef>
              <c:f>Sheet4!$C$2:$C$6</c:f>
              <c:numCache>
                <c:formatCode>"$"#,##0.00</c:formatCode>
                <c:ptCount val="4"/>
                <c:pt idx="0">
                  <c:v>4858.5</c:v>
                </c:pt>
                <c:pt idx="1">
                  <c:v>11595.541999999985</c:v>
                </c:pt>
                <c:pt idx="2">
                  <c:v>4292.3544999999958</c:v>
                </c:pt>
                <c:pt idx="3">
                  <c:v>3883.7280000000001</c:v>
                </c:pt>
              </c:numCache>
            </c:numRef>
          </c:val>
          <c:extLst>
            <c:ext xmlns:c16="http://schemas.microsoft.com/office/drawing/2014/chart" uri="{C3380CC4-5D6E-409C-BE32-E72D297353CC}">
              <c16:uniqueId val="{00000001-BB60-406B-9ACA-55565AF28494}"/>
            </c:ext>
          </c:extLst>
        </c:ser>
        <c:ser>
          <c:idx val="2"/>
          <c:order val="2"/>
          <c:tx>
            <c:strRef>
              <c:f>Sheet4!$D$1</c:f>
              <c:strCache>
                <c:ptCount val="1"/>
                <c:pt idx="0">
                  <c:v>Sum of Discount_amount</c:v>
                </c:pt>
              </c:strCache>
            </c:strRef>
          </c:tx>
          <c:spPr>
            <a:solidFill>
              <a:schemeClr val="accent3"/>
            </a:solidFill>
            <a:ln>
              <a:noFill/>
            </a:ln>
            <a:effectLst/>
          </c:spPr>
          <c:invertIfNegative val="0"/>
          <c:cat>
            <c:strRef>
              <c:f>Sheet4!$A$2:$A$6</c:f>
              <c:strCache>
                <c:ptCount val="4"/>
                <c:pt idx="0">
                  <c:v>0</c:v>
                </c:pt>
                <c:pt idx="1">
                  <c:v>0.1</c:v>
                </c:pt>
                <c:pt idx="2">
                  <c:v>0.15</c:v>
                </c:pt>
                <c:pt idx="3">
                  <c:v>0.2</c:v>
                </c:pt>
              </c:strCache>
            </c:strRef>
          </c:cat>
          <c:val>
            <c:numRef>
              <c:f>Sheet4!$D$2:$D$6</c:f>
              <c:numCache>
                <c:formatCode>General</c:formatCode>
                <c:ptCount val="4"/>
                <c:pt idx="0">
                  <c:v>0</c:v>
                </c:pt>
                <c:pt idx="1">
                  <c:v>6858.5980000000209</c:v>
                </c:pt>
                <c:pt idx="2">
                  <c:v>5437.9154999999992</c:v>
                </c:pt>
                <c:pt idx="3">
                  <c:v>7895.8019999999979</c:v>
                </c:pt>
              </c:numCache>
            </c:numRef>
          </c:val>
          <c:extLst>
            <c:ext xmlns:c16="http://schemas.microsoft.com/office/drawing/2014/chart" uri="{C3380CC4-5D6E-409C-BE32-E72D297353CC}">
              <c16:uniqueId val="{00000003-BB60-406B-9ACA-55565AF28494}"/>
            </c:ext>
          </c:extLst>
        </c:ser>
        <c:dLbls>
          <c:showLegendKey val="0"/>
          <c:showVal val="0"/>
          <c:showCatName val="0"/>
          <c:showSerName val="0"/>
          <c:showPercent val="0"/>
          <c:showBubbleSize val="0"/>
        </c:dLbls>
        <c:gapWidth val="182"/>
        <c:axId val="1557643503"/>
        <c:axId val="1557641007"/>
      </c:barChart>
      <c:catAx>
        <c:axId val="155764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41007"/>
        <c:crosses val="autoZero"/>
        <c:auto val="1"/>
        <c:lblAlgn val="ctr"/>
        <c:lblOffset val="100"/>
        <c:noMultiLvlLbl val="0"/>
      </c:catAx>
      <c:valAx>
        <c:axId val="15576410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4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51822210748248"/>
          <c:y val="3.3577341293876725E-2"/>
          <c:w val="0.6807181889149102"/>
          <c:h val="0.96642265870612332"/>
        </c:manualLayout>
      </c:layout>
      <c:doughnutChart>
        <c:varyColors val="1"/>
        <c:ser>
          <c:idx val="0"/>
          <c:order val="0"/>
          <c:spPr>
            <a:gradFill>
              <a:gsLst>
                <a:gs pos="52500">
                  <a:srgbClr val="A9C198"/>
                </a:gs>
                <a:gs pos="29000">
                  <a:srgbClr val="D7E2C8"/>
                </a:gs>
                <a:gs pos="15000">
                  <a:schemeClr val="accent3">
                    <a:lumMod val="20000"/>
                    <a:lumOff val="80000"/>
                  </a:schemeClr>
                </a:gs>
              </a:gsLst>
              <a:lin ang="10800000" scaled="0"/>
            </a:gradFill>
            <a:ln>
              <a:noFill/>
            </a:ln>
            <a:effectLst>
              <a:glow rad="50800">
                <a:schemeClr val="accent3">
                  <a:lumMod val="40000"/>
                  <a:lumOff val="60000"/>
                  <a:alpha val="39000"/>
                </a:schemeClr>
              </a:glow>
            </a:effectLst>
          </c:spPr>
          <c:dPt>
            <c:idx val="0"/>
            <c:bubble3D val="0"/>
            <c:explosion val="2"/>
            <c:spPr>
              <a:gradFill flip="none" rotWithShape="1">
                <a:gsLst>
                  <a:gs pos="91000">
                    <a:schemeClr val="tx2">
                      <a:lumMod val="40000"/>
                      <a:lumOff val="60000"/>
                    </a:schemeClr>
                  </a:gs>
                  <a:gs pos="52500">
                    <a:schemeClr val="tx2">
                      <a:lumMod val="40000"/>
                      <a:lumOff val="60000"/>
                    </a:schemeClr>
                  </a:gs>
                  <a:gs pos="17000">
                    <a:schemeClr val="accent5">
                      <a:lumMod val="20000"/>
                      <a:lumOff val="80000"/>
                    </a:schemeClr>
                  </a:gs>
                </a:gsLst>
                <a:path path="circle">
                  <a:fillToRect l="100000" t="100000"/>
                </a:path>
                <a:tileRect r="-100000" b="-100000"/>
              </a:gradFill>
              <a:ln w="19050">
                <a:noFill/>
              </a:ln>
              <a:effectLst>
                <a:glow rad="50800">
                  <a:schemeClr val="accent3">
                    <a:lumMod val="40000"/>
                    <a:lumOff val="60000"/>
                    <a:alpha val="39000"/>
                  </a:schemeClr>
                </a:glow>
                <a:outerShdw blurRad="406400" dist="228600" dir="16200000" rotWithShape="0">
                  <a:prstClr val="black">
                    <a:alpha val="40000"/>
                  </a:prstClr>
                </a:outerShdw>
              </a:effectLst>
            </c:spPr>
            <c:extLst>
              <c:ext xmlns:c16="http://schemas.microsoft.com/office/drawing/2014/chart" uri="{C3380CC4-5D6E-409C-BE32-E72D297353CC}">
                <c16:uniqueId val="{00000001-EA03-46BC-8381-BD19740264E8}"/>
              </c:ext>
            </c:extLst>
          </c:dPt>
          <c:dPt>
            <c:idx val="1"/>
            <c:bubble3D val="0"/>
            <c:spPr>
              <a:solidFill>
                <a:srgbClr val="C00000">
                  <a:alpha val="78000"/>
                </a:srgbClr>
              </a:solidFill>
              <a:ln w="19050">
                <a:noFill/>
              </a:ln>
              <a:effectLst>
                <a:glow rad="50800">
                  <a:schemeClr val="accent3">
                    <a:lumMod val="40000"/>
                    <a:lumOff val="60000"/>
                    <a:alpha val="39000"/>
                  </a:schemeClr>
                </a:glow>
              </a:effectLst>
            </c:spPr>
            <c:extLst>
              <c:ext xmlns:c16="http://schemas.microsoft.com/office/drawing/2014/chart" uri="{C3380CC4-5D6E-409C-BE32-E72D297353CC}">
                <c16:uniqueId val="{00000003-EA03-46BC-8381-BD19740264E8}"/>
              </c:ext>
            </c:extLst>
          </c:dPt>
          <c:val>
            <c:numRef>
              <c:f>(Sheet4!$B$8,Sheet4!$B$9)</c:f>
              <c:numCache>
                <c:formatCode>0%</c:formatCode>
                <c:ptCount val="2"/>
                <c:pt idx="0">
                  <c:v>0.85934433507172214</c:v>
                </c:pt>
                <c:pt idx="1">
                  <c:v>0.14065566492827791</c:v>
                </c:pt>
              </c:numCache>
            </c:numRef>
          </c:val>
          <c:extLst>
            <c:ext xmlns:c16="http://schemas.microsoft.com/office/drawing/2014/chart" uri="{C3380CC4-5D6E-409C-BE32-E72D297353CC}">
              <c16:uniqueId val="{00000004-EA03-46BC-8381-BD19740264E8}"/>
            </c:ext>
          </c:extLst>
        </c:ser>
        <c:dLbls>
          <c:showLegendKey val="0"/>
          <c:showVal val="0"/>
          <c:showCatName val="0"/>
          <c:showSerName val="0"/>
          <c:showPercent val="0"/>
          <c:showBubbleSize val="0"/>
          <c:showLeaderLines val="1"/>
        </c:dLbls>
        <c:firstSliceAng val="2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&amp; Customer Insights Systems.xlsx]Sheet4!PivotTable10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7000">
                <a:schemeClr val="bg1">
                  <a:lumMod val="85000"/>
                </a:schemeClr>
              </a:gs>
              <a:gs pos="86000">
                <a:schemeClr val="bg1">
                  <a:lumMod val="95000"/>
                </a:schemeClr>
              </a:gs>
            </a:gsLst>
            <a:lin ang="10800000" scaled="0"/>
          </a:gradFill>
          <a:ln>
            <a:noFill/>
          </a:ln>
          <a:effectLst>
            <a:glow rad="63500">
              <a:schemeClr val="accent1">
                <a:satMod val="175000"/>
                <a:alpha val="40000"/>
              </a:schemeClr>
            </a:glo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99462173658316"/>
          <c:y val="4.3264503441494594E-2"/>
          <c:w val="0.78857115504245634"/>
          <c:h val="0.91347099311701085"/>
        </c:manualLayout>
      </c:layout>
      <c:barChart>
        <c:barDir val="bar"/>
        <c:grouping val="clustered"/>
        <c:varyColors val="0"/>
        <c:ser>
          <c:idx val="0"/>
          <c:order val="0"/>
          <c:tx>
            <c:strRef>
              <c:f>Sheet4!$F$20</c:f>
              <c:strCache>
                <c:ptCount val="1"/>
                <c:pt idx="0">
                  <c:v>Total</c:v>
                </c:pt>
              </c:strCache>
            </c:strRef>
          </c:tx>
          <c:spPr>
            <a:gradFill>
              <a:gsLst>
                <a:gs pos="17000">
                  <a:schemeClr val="bg1">
                    <a:lumMod val="85000"/>
                  </a:schemeClr>
                </a:gs>
                <a:gs pos="86000">
                  <a:schemeClr val="bg1">
                    <a:lumMod val="95000"/>
                  </a:schemeClr>
                </a:gs>
              </a:gsLst>
              <a:lin ang="10800000" scaled="0"/>
            </a:gradFill>
            <a:ln>
              <a:noFill/>
            </a:ln>
            <a:effectLst>
              <a:glow rad="63500">
                <a:schemeClr val="accent1">
                  <a:satMod val="175000"/>
                  <a:alpha val="40000"/>
                </a:schemeClr>
              </a:glo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Sheet4!$E$21:$E$33</c:f>
              <c:strCache>
                <c:ptCount val="12"/>
                <c:pt idx="0">
                  <c:v>Clothing</c:v>
                </c:pt>
                <c:pt idx="1">
                  <c:v>Electronics</c:v>
                </c:pt>
                <c:pt idx="2">
                  <c:v>Shoes</c:v>
                </c:pt>
                <c:pt idx="3">
                  <c:v>Games</c:v>
                </c:pt>
                <c:pt idx="4">
                  <c:v>Groceries</c:v>
                </c:pt>
                <c:pt idx="5">
                  <c:v>Beauty</c:v>
                </c:pt>
                <c:pt idx="6">
                  <c:v>Home</c:v>
                </c:pt>
                <c:pt idx="7">
                  <c:v>Women's Fashion</c:v>
                </c:pt>
                <c:pt idx="8">
                  <c:v>Sports</c:v>
                </c:pt>
                <c:pt idx="9">
                  <c:v>Jewelry</c:v>
                </c:pt>
                <c:pt idx="10">
                  <c:v>Toys</c:v>
                </c:pt>
                <c:pt idx="11">
                  <c:v>Phones</c:v>
                </c:pt>
              </c:strCache>
            </c:strRef>
          </c:cat>
          <c:val>
            <c:numRef>
              <c:f>Sheet4!$F$21:$F$33</c:f>
              <c:numCache>
                <c:formatCode>"$"#,##0.00</c:formatCode>
                <c:ptCount val="12"/>
                <c:pt idx="0">
                  <c:v>1233.7099999999984</c:v>
                </c:pt>
                <c:pt idx="1">
                  <c:v>4547.8980000000074</c:v>
                </c:pt>
                <c:pt idx="2">
                  <c:v>5780.6744999999983</c:v>
                </c:pt>
                <c:pt idx="3">
                  <c:v>7405.3539999999957</c:v>
                </c:pt>
                <c:pt idx="4">
                  <c:v>7925.4719999999879</c:v>
                </c:pt>
                <c:pt idx="5">
                  <c:v>12952.800000000016</c:v>
                </c:pt>
                <c:pt idx="6">
                  <c:v>13186.365000000007</c:v>
                </c:pt>
                <c:pt idx="7">
                  <c:v>15398.864000000021</c:v>
                </c:pt>
                <c:pt idx="8">
                  <c:v>17768.753999999997</c:v>
                </c:pt>
                <c:pt idx="9">
                  <c:v>18259.056000000008</c:v>
                </c:pt>
                <c:pt idx="10">
                  <c:v>18966.700000000019</c:v>
                </c:pt>
                <c:pt idx="11">
                  <c:v>20132.84700000002</c:v>
                </c:pt>
              </c:numCache>
            </c:numRef>
          </c:val>
          <c:extLst>
            <c:ext xmlns:c16="http://schemas.microsoft.com/office/drawing/2014/chart" uri="{C3380CC4-5D6E-409C-BE32-E72D297353CC}">
              <c16:uniqueId val="{00000000-AD03-4FA8-9FD4-4246B9925F42}"/>
            </c:ext>
          </c:extLst>
        </c:ser>
        <c:dLbls>
          <c:dLblPos val="outEnd"/>
          <c:showLegendKey val="0"/>
          <c:showVal val="1"/>
          <c:showCatName val="0"/>
          <c:showSerName val="0"/>
          <c:showPercent val="0"/>
          <c:showBubbleSize val="0"/>
        </c:dLbls>
        <c:gapWidth val="182"/>
        <c:axId val="1409594015"/>
        <c:axId val="1409591103"/>
      </c:barChart>
      <c:catAx>
        <c:axId val="140959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100" b="0" i="0" u="none" strike="noStrike" kern="1200" baseline="0">
                <a:solidFill>
                  <a:schemeClr val="bg1"/>
                </a:solidFill>
                <a:latin typeface="+mj-lt"/>
                <a:ea typeface="+mn-ea"/>
                <a:cs typeface="+mn-cs"/>
              </a:defRPr>
            </a:pPr>
            <a:endParaRPr lang="en-US"/>
          </a:p>
        </c:txPr>
        <c:crossAx val="1409591103"/>
        <c:crosses val="autoZero"/>
        <c:auto val="1"/>
        <c:lblAlgn val="ctr"/>
        <c:lblOffset val="100"/>
        <c:noMultiLvlLbl val="0"/>
      </c:catAx>
      <c:valAx>
        <c:axId val="1409591103"/>
        <c:scaling>
          <c:orientation val="minMax"/>
        </c:scaling>
        <c:delete val="1"/>
        <c:axPos val="b"/>
        <c:numFmt formatCode="[&gt;=1000000]#,##0.0,,&quot;M&quot;;[&gt;=1000]#,##0.0,&quot;K&quot;;#,##0" sourceLinked="0"/>
        <c:majorTickMark val="none"/>
        <c:minorTickMark val="none"/>
        <c:tickLblPos val="nextTo"/>
        <c:crossAx val="140959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&amp; Customer Insights Systems.xlsx]Sheet4!PivotTable11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20000"/>
                <a:lumOff val="80000"/>
              </a:schemeClr>
            </a:solidFill>
            <a:round/>
          </a:ln>
          <a:effectLst>
            <a:glow rad="63500">
              <a:schemeClr val="accent5">
                <a:lumMod val="40000"/>
                <a:lumOff val="60000"/>
                <a:alpha val="40000"/>
              </a:schemeClr>
            </a:glow>
          </a:effectLst>
        </c:spPr>
        <c:marker>
          <c:symbol val="circle"/>
          <c:size val="5"/>
          <c:spPr>
            <a:solidFill>
              <a:schemeClr val="accent1"/>
            </a:solidFill>
            <a:ln w="22225">
              <a:solidFill>
                <a:schemeClr val="lt1"/>
              </a:solidFill>
              <a:round/>
            </a:ln>
            <a:effectLst>
              <a:glow rad="63500">
                <a:schemeClr val="accent5">
                  <a:lumMod val="40000"/>
                  <a:lumOff val="60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0597305886864"/>
          <c:y val="9.5954672958634801E-2"/>
          <c:w val="0.89073324942188914"/>
          <c:h val="0.75285797689946632"/>
        </c:manualLayout>
      </c:layout>
      <c:lineChart>
        <c:grouping val="standard"/>
        <c:varyColors val="0"/>
        <c:ser>
          <c:idx val="0"/>
          <c:order val="0"/>
          <c:tx>
            <c:strRef>
              <c:f>Sheet4!$B$29</c:f>
              <c:strCache>
                <c:ptCount val="1"/>
                <c:pt idx="0">
                  <c:v>Total</c:v>
                </c:pt>
              </c:strCache>
            </c:strRef>
          </c:tx>
          <c:spPr>
            <a:ln w="34925" cap="rnd">
              <a:solidFill>
                <a:schemeClr val="tx2">
                  <a:lumMod val="20000"/>
                  <a:lumOff val="80000"/>
                </a:schemeClr>
              </a:solidFill>
              <a:round/>
            </a:ln>
            <a:effectLst>
              <a:glow rad="63500">
                <a:schemeClr val="accent5">
                  <a:lumMod val="40000"/>
                  <a:lumOff val="60000"/>
                  <a:alpha val="40000"/>
                </a:schemeClr>
              </a:glow>
            </a:effectLst>
          </c:spPr>
          <c:marker>
            <c:symbol val="circle"/>
            <c:size val="5"/>
            <c:spPr>
              <a:solidFill>
                <a:schemeClr val="accent1"/>
              </a:solidFill>
              <a:ln w="22225">
                <a:solidFill>
                  <a:schemeClr val="lt1"/>
                </a:solidFill>
                <a:round/>
              </a:ln>
              <a:effectLst>
                <a:glow rad="63500">
                  <a:schemeClr val="accent5">
                    <a:lumMod val="40000"/>
                    <a:lumOff val="60000"/>
                    <a:alpha val="40000"/>
                  </a:schemeClr>
                </a:glow>
              </a:effectLst>
            </c:spPr>
          </c:marker>
          <c:cat>
            <c:strRef>
              <c:f>Sheet4!$A$30:$A$42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Sheet4!$B$30:$B$42</c:f>
              <c:numCache>
                <c:formatCode>"$"#,##0.00</c:formatCode>
                <c:ptCount val="12"/>
                <c:pt idx="0">
                  <c:v>150.15043548387098</c:v>
                </c:pt>
                <c:pt idx="1">
                  <c:v>194.97800675675688</c:v>
                </c:pt>
                <c:pt idx="2">
                  <c:v>181.66804301075283</c:v>
                </c:pt>
                <c:pt idx="3">
                  <c:v>170.18262962962984</c:v>
                </c:pt>
                <c:pt idx="4">
                  <c:v>197.76041935483886</c:v>
                </c:pt>
                <c:pt idx="5">
                  <c:v>165.78118333333344</c:v>
                </c:pt>
                <c:pt idx="6">
                  <c:v>162.69733870967752</c:v>
                </c:pt>
                <c:pt idx="7">
                  <c:v>182.84798387096788</c:v>
                </c:pt>
                <c:pt idx="8">
                  <c:v>197.17708333333337</c:v>
                </c:pt>
                <c:pt idx="9">
                  <c:v>177.47756451612904</c:v>
                </c:pt>
                <c:pt idx="10">
                  <c:v>199.62783333333343</c:v>
                </c:pt>
                <c:pt idx="11">
                  <c:v>172.53456451612905</c:v>
                </c:pt>
              </c:numCache>
            </c:numRef>
          </c:val>
          <c:smooth val="0"/>
          <c:extLst>
            <c:ext xmlns:c16="http://schemas.microsoft.com/office/drawing/2014/chart" uri="{C3380CC4-5D6E-409C-BE32-E72D297353CC}">
              <c16:uniqueId val="{00000000-E585-41C4-823D-55E103F7F61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22353791"/>
        <c:axId val="1822352127"/>
      </c:lineChart>
      <c:catAx>
        <c:axId val="18223537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22352127"/>
        <c:crosses val="autoZero"/>
        <c:auto val="1"/>
        <c:lblAlgn val="ctr"/>
        <c:lblOffset val="100"/>
        <c:noMultiLvlLbl val="0"/>
      </c:catAx>
      <c:valAx>
        <c:axId val="182235212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235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&amp; Customer Insights Systems.xlsx]Sheet4!PivotTable9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2548680697553E-2"/>
          <c:y val="9.215264868571367E-2"/>
          <c:w val="0.87756421408586482"/>
          <c:h val="0.80303369059113294"/>
        </c:manualLayout>
      </c:layout>
      <c:barChart>
        <c:barDir val="col"/>
        <c:grouping val="clustered"/>
        <c:varyColors val="0"/>
        <c:ser>
          <c:idx val="0"/>
          <c:order val="0"/>
          <c:tx>
            <c:strRef>
              <c:f>Sheet4!$B$11</c:f>
              <c:strCache>
                <c:ptCount val="1"/>
                <c:pt idx="0">
                  <c:v>Total</c:v>
                </c:pt>
              </c:strCache>
            </c:strRef>
          </c:tx>
          <c:spPr>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effectLst>
          </c:spPr>
          <c:invertIfNegative val="0"/>
          <c:cat>
            <c:strRef>
              <c:f>Sheet4!$A$12:$A$22</c:f>
              <c:strCache>
                <c:ptCount val="10"/>
                <c:pt idx="0">
                  <c:v>C01</c:v>
                </c:pt>
                <c:pt idx="1">
                  <c:v>C02</c:v>
                </c:pt>
                <c:pt idx="2">
                  <c:v>E01</c:v>
                </c:pt>
                <c:pt idx="3">
                  <c:v>E02</c:v>
                </c:pt>
                <c:pt idx="4">
                  <c:v>N01</c:v>
                </c:pt>
                <c:pt idx="5">
                  <c:v>N02</c:v>
                </c:pt>
                <c:pt idx="6">
                  <c:v>S01</c:v>
                </c:pt>
                <c:pt idx="7">
                  <c:v>S02</c:v>
                </c:pt>
                <c:pt idx="8">
                  <c:v>W01</c:v>
                </c:pt>
                <c:pt idx="9">
                  <c:v>W02</c:v>
                </c:pt>
              </c:strCache>
            </c:strRef>
          </c:cat>
          <c:val>
            <c:numRef>
              <c:f>Sheet4!$B$12:$B$22</c:f>
              <c:numCache>
                <c:formatCode>"$"#,##0.00</c:formatCode>
                <c:ptCount val="10"/>
                <c:pt idx="0">
                  <c:v>14214.20000000001</c:v>
                </c:pt>
                <c:pt idx="1">
                  <c:v>10941.566000000004</c:v>
                </c:pt>
                <c:pt idx="2">
                  <c:v>15301.043000000018</c:v>
                </c:pt>
                <c:pt idx="3">
                  <c:v>16893.03350000002</c:v>
                </c:pt>
                <c:pt idx="4">
                  <c:v>17868.86400000002</c:v>
                </c:pt>
                <c:pt idx="5">
                  <c:v>13940.188000000009</c:v>
                </c:pt>
                <c:pt idx="6">
                  <c:v>13716.110000000017</c:v>
                </c:pt>
                <c:pt idx="7">
                  <c:v>16286.264000000017</c:v>
                </c:pt>
                <c:pt idx="8">
                  <c:v>12884.983000000006</c:v>
                </c:pt>
                <c:pt idx="9">
                  <c:v>11512.243000000002</c:v>
                </c:pt>
              </c:numCache>
            </c:numRef>
          </c:val>
          <c:extLst>
            <c:ext xmlns:c16="http://schemas.microsoft.com/office/drawing/2014/chart" uri="{C3380CC4-5D6E-409C-BE32-E72D297353CC}">
              <c16:uniqueId val="{00000000-8A0C-4D3D-814D-4ABBF3E41B69}"/>
            </c:ext>
          </c:extLst>
        </c:ser>
        <c:dLbls>
          <c:showLegendKey val="0"/>
          <c:showVal val="0"/>
          <c:showCatName val="0"/>
          <c:showSerName val="0"/>
          <c:showPercent val="0"/>
          <c:showBubbleSize val="0"/>
        </c:dLbls>
        <c:gapWidth val="164"/>
        <c:overlap val="-22"/>
        <c:axId val="1820516111"/>
        <c:axId val="1819296831"/>
      </c:barChart>
      <c:catAx>
        <c:axId val="18205161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9296831"/>
        <c:crosses val="autoZero"/>
        <c:auto val="1"/>
        <c:lblAlgn val="ctr"/>
        <c:lblOffset val="100"/>
        <c:noMultiLvlLbl val="0"/>
      </c:catAx>
      <c:valAx>
        <c:axId val="1819296831"/>
        <c:scaling>
          <c:orientation val="minMax"/>
        </c:scaling>
        <c:delete val="0"/>
        <c:axPos val="l"/>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051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247650</xdr:colOff>
      <xdr:row>33</xdr:row>
      <xdr:rowOff>42862</xdr:rowOff>
    </xdr:from>
    <xdr:to>
      <xdr:col>14</xdr:col>
      <xdr:colOff>552450</xdr:colOff>
      <xdr:row>47</xdr:row>
      <xdr:rowOff>119062</xdr:rowOff>
    </xdr:to>
    <xdr:graphicFrame macro="">
      <xdr:nvGraphicFramePr>
        <xdr:cNvPr id="3" name="Chart 2">
          <a:extLst>
            <a:ext uri="{FF2B5EF4-FFF2-40B4-BE49-F238E27FC236}">
              <a16:creationId xmlns:a16="http://schemas.microsoft.com/office/drawing/2014/main" id="{63525171-03F2-4ADF-A5B2-556CB8423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0</xdr:row>
      <xdr:rowOff>0</xdr:rowOff>
    </xdr:from>
    <xdr:to>
      <xdr:col>7</xdr:col>
      <xdr:colOff>590550</xdr:colOff>
      <xdr:row>9</xdr:row>
      <xdr:rowOff>161925</xdr:rowOff>
    </xdr:to>
    <xdr:graphicFrame macro="">
      <xdr:nvGraphicFramePr>
        <xdr:cNvPr id="6" name="Chart 5">
          <a:extLst>
            <a:ext uri="{FF2B5EF4-FFF2-40B4-BE49-F238E27FC236}">
              <a16:creationId xmlns:a16="http://schemas.microsoft.com/office/drawing/2014/main" id="{D5646A8D-5D61-4EC6-9845-7045099C8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419099</xdr:colOff>
      <xdr:row>0</xdr:row>
      <xdr:rowOff>0</xdr:rowOff>
    </xdr:from>
    <xdr:to>
      <xdr:col>17</xdr:col>
      <xdr:colOff>238124</xdr:colOff>
      <xdr:row>5</xdr:row>
      <xdr:rowOff>76200</xdr:rowOff>
    </xdr:to>
    <xdr:graphicFrame macro="">
      <xdr:nvGraphicFramePr>
        <xdr:cNvPr id="7" name="Chart 6">
          <a:extLst>
            <a:ext uri="{FF2B5EF4-FFF2-40B4-BE49-F238E27FC236}">
              <a16:creationId xmlns:a16="http://schemas.microsoft.com/office/drawing/2014/main" id="{D050F9B2-F434-4539-8066-E856B6F09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400326</xdr:colOff>
      <xdr:row>14</xdr:row>
      <xdr:rowOff>0</xdr:rowOff>
    </xdr:from>
    <xdr:to>
      <xdr:col>32</xdr:col>
      <xdr:colOff>151848</xdr:colOff>
      <xdr:row>43</xdr:row>
      <xdr:rowOff>138044</xdr:rowOff>
    </xdr:to>
    <xdr:sp macro="" textlink="">
      <xdr:nvSpPr>
        <xdr:cNvPr id="51" name="Rectangle: Rounded Corners 50">
          <a:extLst>
            <a:ext uri="{FF2B5EF4-FFF2-40B4-BE49-F238E27FC236}">
              <a16:creationId xmlns:a16="http://schemas.microsoft.com/office/drawing/2014/main" id="{8127CDC7-80D2-4ECA-A617-374E76B67CFE}"/>
            </a:ext>
          </a:extLst>
        </xdr:cNvPr>
        <xdr:cNvSpPr/>
      </xdr:nvSpPr>
      <xdr:spPr>
        <a:xfrm>
          <a:off x="9511196" y="2705652"/>
          <a:ext cx="10077174" cy="5742609"/>
        </a:xfrm>
        <a:prstGeom prst="roundRect">
          <a:avLst>
            <a:gd name="adj" fmla="val 12173"/>
          </a:avLst>
        </a:prstGeom>
        <a:gradFill>
          <a:gsLst>
            <a:gs pos="9000">
              <a:schemeClr val="accent4">
                <a:lumMod val="20000"/>
                <a:lumOff val="80000"/>
                <a:alpha val="52000"/>
              </a:schemeClr>
            </a:gs>
            <a:gs pos="100000">
              <a:schemeClr val="tx2">
                <a:lumMod val="40000"/>
                <a:lumOff val="60000"/>
              </a:schemeClr>
            </a:gs>
            <a:gs pos="51000">
              <a:schemeClr val="accent4">
                <a:lumMod val="20000"/>
                <a:lumOff val="80000"/>
              </a:schemeClr>
            </a:gs>
          </a:gsLst>
          <a:lin ang="10800000" scaled="0"/>
        </a:gradFill>
        <a:ln w="19050">
          <a:noFill/>
          <a:miter lim="800000"/>
        </a:ln>
        <a:effectLst>
          <a:outerShdw blurRad="152400" dist="38100" dir="8100000" algn="tr" rotWithShape="0">
            <a:schemeClr val="tx1">
              <a:lumMod val="65000"/>
              <a:lumOff val="3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207065</xdr:colOff>
      <xdr:row>0</xdr:row>
      <xdr:rowOff>83792</xdr:rowOff>
    </xdr:from>
    <xdr:to>
      <xdr:col>14</xdr:col>
      <xdr:colOff>152124</xdr:colOff>
      <xdr:row>22</xdr:row>
      <xdr:rowOff>150468</xdr:rowOff>
    </xdr:to>
    <xdr:sp macro="" textlink="">
      <xdr:nvSpPr>
        <xdr:cNvPr id="2" name="Rectangle: Rounded Corners 1">
          <a:extLst>
            <a:ext uri="{FF2B5EF4-FFF2-40B4-BE49-F238E27FC236}">
              <a16:creationId xmlns:a16="http://schemas.microsoft.com/office/drawing/2014/main" id="{B53E4408-98DC-46E7-A1DE-56A5E20BCCEF}"/>
            </a:ext>
          </a:extLst>
        </xdr:cNvPr>
        <xdr:cNvSpPr/>
      </xdr:nvSpPr>
      <xdr:spPr>
        <a:xfrm>
          <a:off x="207065" y="83792"/>
          <a:ext cx="8448537" cy="4318415"/>
        </a:xfrm>
        <a:prstGeom prst="roundRect">
          <a:avLst>
            <a:gd name="adj" fmla="val 14432"/>
          </a:avLst>
        </a:prstGeom>
        <a:gradFill>
          <a:gsLst>
            <a:gs pos="17000">
              <a:schemeClr val="accent4">
                <a:lumMod val="20000"/>
                <a:lumOff val="80000"/>
                <a:alpha val="71000"/>
              </a:schemeClr>
            </a:gs>
            <a:gs pos="54000">
              <a:schemeClr val="tx2">
                <a:lumMod val="20000"/>
                <a:lumOff val="80000"/>
              </a:schemeClr>
            </a:gs>
            <a:gs pos="86000">
              <a:schemeClr val="bg2">
                <a:lumMod val="25000"/>
              </a:schemeClr>
            </a:gs>
          </a:gsLst>
          <a:lin ang="10800000" scaled="0"/>
        </a:gradFill>
        <a:ln w="19050">
          <a:noFill/>
          <a:miter lim="800000"/>
        </a:ln>
        <a:effectLst>
          <a:glow rad="50800">
            <a:schemeClr val="accent4">
              <a:lumMod val="40000"/>
              <a:lumOff val="60000"/>
            </a:schemeClr>
          </a:glow>
          <a:outerShdw blurRad="152400" dist="38100" dir="3060000" algn="tl" rotWithShape="0">
            <a:schemeClr val="accent4">
              <a:lumMod val="60000"/>
              <a:lumOff val="40000"/>
              <a:alpha val="40000"/>
            </a:scheme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lt1"/>
              </a:solidFill>
              <a:latin typeface="Cambria" panose="02040503050406030204" pitchFamily="18" charset="0"/>
              <a:ea typeface="Cambria" panose="02040503050406030204" pitchFamily="18" charset="0"/>
              <a:cs typeface="+mn-cs"/>
            </a:rPr>
            <a:t>SALES ANALYSIS DASHBOARD</a:t>
          </a:r>
        </a:p>
      </xdr:txBody>
    </xdr:sp>
    <xdr:clientData/>
  </xdr:twoCellAnchor>
  <xdr:twoCellAnchor>
    <xdr:from>
      <xdr:col>14</xdr:col>
      <xdr:colOff>354535</xdr:colOff>
      <xdr:row>0</xdr:row>
      <xdr:rowOff>151847</xdr:rowOff>
    </xdr:from>
    <xdr:to>
      <xdr:col>19</xdr:col>
      <xdr:colOff>435846</xdr:colOff>
      <xdr:row>7</xdr:row>
      <xdr:rowOff>170704</xdr:rowOff>
    </xdr:to>
    <xdr:sp macro="" textlink="">
      <xdr:nvSpPr>
        <xdr:cNvPr id="5" name="Rectangle: Rounded Corners 4">
          <a:extLst>
            <a:ext uri="{FF2B5EF4-FFF2-40B4-BE49-F238E27FC236}">
              <a16:creationId xmlns:a16="http://schemas.microsoft.com/office/drawing/2014/main" id="{BED241CF-B8FE-4A28-B31A-4BC09D8A45B7}"/>
            </a:ext>
          </a:extLst>
        </xdr:cNvPr>
        <xdr:cNvSpPr/>
      </xdr:nvSpPr>
      <xdr:spPr>
        <a:xfrm>
          <a:off x="8858013" y="151847"/>
          <a:ext cx="3118268" cy="1371683"/>
        </a:xfrm>
        <a:prstGeom prst="roundRect">
          <a:avLst>
            <a:gd name="adj" fmla="val 20696"/>
          </a:avLst>
        </a:prstGeom>
        <a:gradFill>
          <a:gsLst>
            <a:gs pos="9000">
              <a:schemeClr val="accent4">
                <a:lumMod val="40000"/>
                <a:lumOff val="60000"/>
              </a:schemeClr>
            </a:gs>
            <a:gs pos="94000">
              <a:schemeClr val="tx2">
                <a:lumMod val="40000"/>
                <a:lumOff val="60000"/>
              </a:schemeClr>
            </a:gs>
            <a:gs pos="73000">
              <a:schemeClr val="bg2">
                <a:lumMod val="90000"/>
              </a:schemeClr>
            </a:gs>
          </a:gsLst>
          <a:lin ang="10800000" scaled="0"/>
        </a:gradFill>
        <a:ln w="19050">
          <a:noFill/>
          <a:miter lim="800000"/>
        </a:ln>
        <a:effectLst>
          <a:outerShdw blurRad="152400" dist="38100" dir="8100000" algn="tr" rotWithShape="0">
            <a:schemeClr val="tx1">
              <a:lumMod val="65000"/>
              <a:lumOff val="3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547461</xdr:colOff>
      <xdr:row>0</xdr:row>
      <xdr:rowOff>96630</xdr:rowOff>
    </xdr:from>
    <xdr:to>
      <xdr:col>24</xdr:col>
      <xdr:colOff>524229</xdr:colOff>
      <xdr:row>8</xdr:row>
      <xdr:rowOff>170029</xdr:rowOff>
    </xdr:to>
    <xdr:sp macro="" textlink="">
      <xdr:nvSpPr>
        <xdr:cNvPr id="6" name="Rectangle: Rounded Corners 5">
          <a:extLst>
            <a:ext uri="{FF2B5EF4-FFF2-40B4-BE49-F238E27FC236}">
              <a16:creationId xmlns:a16="http://schemas.microsoft.com/office/drawing/2014/main" id="{9036657F-4AC4-4379-8D1E-3AE52FF31F35}"/>
            </a:ext>
          </a:extLst>
        </xdr:cNvPr>
        <xdr:cNvSpPr/>
      </xdr:nvSpPr>
      <xdr:spPr>
        <a:xfrm>
          <a:off x="12087896" y="96630"/>
          <a:ext cx="3013724" cy="1619486"/>
        </a:xfrm>
        <a:prstGeom prst="roundRect">
          <a:avLst>
            <a:gd name="adj" fmla="val 20696"/>
          </a:avLst>
        </a:prstGeom>
        <a:gradFill>
          <a:gsLst>
            <a:gs pos="9000">
              <a:schemeClr val="bg1">
                <a:lumMod val="75000"/>
              </a:schemeClr>
            </a:gs>
            <a:gs pos="100000">
              <a:schemeClr val="accent4">
                <a:lumMod val="40000"/>
                <a:lumOff val="60000"/>
              </a:schemeClr>
            </a:gs>
            <a:gs pos="33000">
              <a:schemeClr val="tx2">
                <a:lumMod val="40000"/>
                <a:lumOff val="60000"/>
              </a:schemeClr>
            </a:gs>
          </a:gsLst>
          <a:lin ang="10800000" scaled="0"/>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outerShdw blurRad="152400" dist="38100" dir="8100000" algn="tr" rotWithShape="0">
            <a:schemeClr val="tx1">
              <a:lumMod val="65000"/>
              <a:lumOff val="3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2</xdr:col>
      <xdr:colOff>20569</xdr:colOff>
      <xdr:row>3</xdr:row>
      <xdr:rowOff>26228</xdr:rowOff>
    </xdr:from>
    <xdr:ext cx="4067176" cy="272703"/>
    <xdr:sp macro="" textlink="">
      <xdr:nvSpPr>
        <xdr:cNvPr id="7" name="TextBox 6">
          <a:extLst>
            <a:ext uri="{FF2B5EF4-FFF2-40B4-BE49-F238E27FC236}">
              <a16:creationId xmlns:a16="http://schemas.microsoft.com/office/drawing/2014/main" id="{39B391E6-4B8E-41F4-A81D-E356B9C865B3}"/>
            </a:ext>
          </a:extLst>
        </xdr:cNvPr>
        <xdr:cNvSpPr txBox="1"/>
      </xdr:nvSpPr>
      <xdr:spPr>
        <a:xfrm>
          <a:off x="1235352" y="606011"/>
          <a:ext cx="4067176" cy="272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a:solidFill>
                <a:schemeClr val="tx2">
                  <a:lumMod val="50000"/>
                </a:schemeClr>
              </a:solidFill>
              <a:latin typeface="Cambria" panose="02040503050406030204" pitchFamily="18" charset="0"/>
              <a:ea typeface="Cambria" panose="02040503050406030204" pitchFamily="18" charset="0"/>
            </a:rPr>
            <a:t>Retail Sales Performance &amp; Customer Insights System</a:t>
          </a:r>
        </a:p>
      </xdr:txBody>
    </xdr:sp>
    <xdr:clientData/>
  </xdr:oneCellAnchor>
  <xdr:twoCellAnchor>
    <xdr:from>
      <xdr:col>0</xdr:col>
      <xdr:colOff>0</xdr:colOff>
      <xdr:row>5</xdr:row>
      <xdr:rowOff>190499</xdr:rowOff>
    </xdr:from>
    <xdr:to>
      <xdr:col>6</xdr:col>
      <xdr:colOff>171450</xdr:colOff>
      <xdr:row>20</xdr:row>
      <xdr:rowOff>28575</xdr:rowOff>
    </xdr:to>
    <xdr:graphicFrame macro="">
      <xdr:nvGraphicFramePr>
        <xdr:cNvPr id="9" name="Chart 8">
          <a:extLst>
            <a:ext uri="{FF2B5EF4-FFF2-40B4-BE49-F238E27FC236}">
              <a16:creationId xmlns:a16="http://schemas.microsoft.com/office/drawing/2014/main" id="{BEA3176E-5B29-4F7C-96FE-645040088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11</xdr:row>
      <xdr:rowOff>9525</xdr:rowOff>
    </xdr:from>
    <xdr:to>
      <xdr:col>5</xdr:col>
      <xdr:colOff>95250</xdr:colOff>
      <xdr:row>13</xdr:row>
      <xdr:rowOff>95250</xdr:rowOff>
    </xdr:to>
    <xdr:sp macro="" textlink="Sheet4!C8">
      <xdr:nvSpPr>
        <xdr:cNvPr id="10" name="TextBox 9">
          <a:extLst>
            <a:ext uri="{FF2B5EF4-FFF2-40B4-BE49-F238E27FC236}">
              <a16:creationId xmlns:a16="http://schemas.microsoft.com/office/drawing/2014/main" id="{70AD939B-ED7D-4D4E-8D61-746F8FE1A053}"/>
            </a:ext>
          </a:extLst>
        </xdr:cNvPr>
        <xdr:cNvSpPr txBox="1"/>
      </xdr:nvSpPr>
      <xdr:spPr>
        <a:xfrm>
          <a:off x="742950" y="2105025"/>
          <a:ext cx="24003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8CDBD6-C49B-4912-987A-170E99DD6DF6}" type="TxLink">
            <a:rPr lang="en-US" sz="2800" b="1" i="0" u="none" strike="noStrike">
              <a:solidFill>
                <a:schemeClr val="bg1"/>
              </a:solidFill>
              <a:latin typeface="Cambria" panose="02040503050406030204" pitchFamily="18" charset="0"/>
              <a:ea typeface="Cambria" panose="02040503050406030204" pitchFamily="18" charset="0"/>
              <a:cs typeface="Calibri"/>
            </a:rPr>
            <a:pPr algn="ctr"/>
            <a:t>$143.6K</a:t>
          </a:fld>
          <a:endParaRPr lang="en-US" sz="28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247649</xdr:colOff>
      <xdr:row>13</xdr:row>
      <xdr:rowOff>66675</xdr:rowOff>
    </xdr:from>
    <xdr:to>
      <xdr:col>5</xdr:col>
      <xdr:colOff>47624</xdr:colOff>
      <xdr:row>15</xdr:row>
      <xdr:rowOff>0</xdr:rowOff>
    </xdr:to>
    <xdr:sp macro="" textlink="">
      <xdr:nvSpPr>
        <xdr:cNvPr id="11" name="TextBox 10">
          <a:extLst>
            <a:ext uri="{FF2B5EF4-FFF2-40B4-BE49-F238E27FC236}">
              <a16:creationId xmlns:a16="http://schemas.microsoft.com/office/drawing/2014/main" id="{C9CA2CDE-848F-4689-99E0-609FE17A9F0E}"/>
            </a:ext>
          </a:extLst>
        </xdr:cNvPr>
        <xdr:cNvSpPr txBox="1"/>
      </xdr:nvSpPr>
      <xdr:spPr>
        <a:xfrm>
          <a:off x="857249" y="2543175"/>
          <a:ext cx="2238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1"/>
              </a:solidFill>
              <a:latin typeface="Cambria" panose="02040503050406030204" pitchFamily="18" charset="0"/>
              <a:ea typeface="Cambria" panose="02040503050406030204" pitchFamily="18" charset="0"/>
            </a:rPr>
            <a:t>Revenue</a:t>
          </a:r>
          <a:r>
            <a:rPr lang="en-US" sz="1200" b="0" baseline="0">
              <a:solidFill>
                <a:schemeClr val="bg1"/>
              </a:solidFill>
              <a:latin typeface="Cambria" panose="02040503050406030204" pitchFamily="18" charset="0"/>
              <a:ea typeface="Cambria" panose="02040503050406030204" pitchFamily="18" charset="0"/>
            </a:rPr>
            <a:t> Taken</a:t>
          </a:r>
          <a:endParaRPr lang="en-US" sz="12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5</xdr:col>
      <xdr:colOff>390525</xdr:colOff>
      <xdr:row>7</xdr:row>
      <xdr:rowOff>161925</xdr:rowOff>
    </xdr:from>
    <xdr:to>
      <xdr:col>10</xdr:col>
      <xdr:colOff>581025</xdr:colOff>
      <xdr:row>17</xdr:row>
      <xdr:rowOff>152400</xdr:rowOff>
    </xdr:to>
    <xdr:sp macro="" textlink="">
      <xdr:nvSpPr>
        <xdr:cNvPr id="12" name="TextBox 11">
          <a:extLst>
            <a:ext uri="{FF2B5EF4-FFF2-40B4-BE49-F238E27FC236}">
              <a16:creationId xmlns:a16="http://schemas.microsoft.com/office/drawing/2014/main" id="{BF6B16D7-4262-4D08-922D-EC061706F00E}"/>
            </a:ext>
          </a:extLst>
        </xdr:cNvPr>
        <xdr:cNvSpPr txBox="1"/>
      </xdr:nvSpPr>
      <xdr:spPr>
        <a:xfrm>
          <a:off x="3438525" y="1495425"/>
          <a:ext cx="3238500"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Cambria" panose="02040503050406030204" pitchFamily="18" charset="0"/>
              <a:ea typeface="Cambria" panose="02040503050406030204" pitchFamily="18" charset="0"/>
            </a:rPr>
            <a:t>Revenue</a:t>
          </a:r>
          <a:r>
            <a:rPr lang="en-US" sz="1400" b="1" baseline="0">
              <a:solidFill>
                <a:schemeClr val="tx1"/>
              </a:solidFill>
              <a:latin typeface="Cambria" panose="02040503050406030204" pitchFamily="18" charset="0"/>
              <a:ea typeface="Cambria" panose="02040503050406030204" pitchFamily="18" charset="0"/>
            </a:rPr>
            <a:t> VS Discount Breakdown</a:t>
          </a:r>
        </a:p>
        <a:p>
          <a:endParaRPr lang="en-US" sz="1100" baseline="0">
            <a:solidFill>
              <a:schemeClr val="bg1"/>
            </a:solidFill>
          </a:endParaRPr>
        </a:p>
        <a:p>
          <a:r>
            <a:rPr lang="en-US" sz="1100">
              <a:solidFill>
                <a:schemeClr val="bg1"/>
              </a:solidFill>
            </a:rPr>
            <a:t>        </a:t>
          </a:r>
          <a:r>
            <a:rPr lang="en-US" sz="1100">
              <a:solidFill>
                <a:schemeClr val="tx1"/>
              </a:solidFill>
              <a:latin typeface="Cambria" panose="02040503050406030204" pitchFamily="18" charset="0"/>
              <a:ea typeface="Cambria" panose="02040503050406030204" pitchFamily="18" charset="0"/>
            </a:rPr>
            <a:t>Revenue</a:t>
          </a:r>
          <a:r>
            <a:rPr lang="en-US" sz="1100" baseline="0">
              <a:solidFill>
                <a:schemeClr val="tx1"/>
              </a:solidFill>
              <a:latin typeface="Cambria" panose="02040503050406030204" pitchFamily="18" charset="0"/>
              <a:ea typeface="Cambria" panose="02040503050406030204" pitchFamily="18" charset="0"/>
            </a:rPr>
            <a:t> Kept : </a:t>
          </a:r>
          <a:endParaRPr lang="en-US" sz="1100">
            <a:solidFill>
              <a:schemeClr val="tx1"/>
            </a:solidFill>
            <a:latin typeface="Cambria" panose="02040503050406030204" pitchFamily="18" charset="0"/>
            <a:ea typeface="Cambria" panose="02040503050406030204" pitchFamily="18" charset="0"/>
          </a:endParaRPr>
        </a:p>
      </xdr:txBody>
    </xdr:sp>
    <xdr:clientData/>
  </xdr:twoCellAnchor>
  <xdr:twoCellAnchor>
    <xdr:from>
      <xdr:col>5</xdr:col>
      <xdr:colOff>533400</xdr:colOff>
      <xdr:row>10</xdr:row>
      <xdr:rowOff>19049</xdr:rowOff>
    </xdr:from>
    <xdr:to>
      <xdr:col>6</xdr:col>
      <xdr:colOff>28575</xdr:colOff>
      <xdr:row>10</xdr:row>
      <xdr:rowOff>123824</xdr:rowOff>
    </xdr:to>
    <xdr:sp macro="" textlink="">
      <xdr:nvSpPr>
        <xdr:cNvPr id="13" name="Rectangle 12">
          <a:extLst>
            <a:ext uri="{FF2B5EF4-FFF2-40B4-BE49-F238E27FC236}">
              <a16:creationId xmlns:a16="http://schemas.microsoft.com/office/drawing/2014/main" id="{EF6AC19A-0F38-49F7-AA51-B4DFC1F4BDD9}"/>
            </a:ext>
          </a:extLst>
        </xdr:cNvPr>
        <xdr:cNvSpPr/>
      </xdr:nvSpPr>
      <xdr:spPr>
        <a:xfrm>
          <a:off x="3581400" y="1924049"/>
          <a:ext cx="104775" cy="104775"/>
        </a:xfrm>
        <a:prstGeom prst="rect">
          <a:avLst/>
        </a:prstGeom>
        <a:solidFill>
          <a:schemeClr val="accent3">
            <a:lumMod val="7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9524</xdr:colOff>
      <xdr:row>10</xdr:row>
      <xdr:rowOff>161924</xdr:rowOff>
    </xdr:from>
    <xdr:to>
      <xdr:col>7</xdr:col>
      <xdr:colOff>495299</xdr:colOff>
      <xdr:row>12</xdr:row>
      <xdr:rowOff>19049</xdr:rowOff>
    </xdr:to>
    <xdr:sp macro="" textlink="Sheet4!A8">
      <xdr:nvSpPr>
        <xdr:cNvPr id="14" name="TextBox 13">
          <a:extLst>
            <a:ext uri="{FF2B5EF4-FFF2-40B4-BE49-F238E27FC236}">
              <a16:creationId xmlns:a16="http://schemas.microsoft.com/office/drawing/2014/main" id="{291C6CC4-C243-46CE-A3E8-C53AC701DC52}"/>
            </a:ext>
          </a:extLst>
        </xdr:cNvPr>
        <xdr:cNvSpPr txBox="1"/>
      </xdr:nvSpPr>
      <xdr:spPr>
        <a:xfrm>
          <a:off x="3667124" y="2066924"/>
          <a:ext cx="1095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B7797A-5AD4-428B-AAD9-1FA60BF4E251}" type="TxLink">
            <a:rPr lang="en-US" sz="1400" b="1" i="0" u="none" strike="noStrike">
              <a:solidFill>
                <a:schemeClr val="bg1"/>
              </a:solidFill>
              <a:latin typeface="Cambria" panose="02040503050406030204" pitchFamily="18" charset="0"/>
              <a:ea typeface="Cambria" panose="02040503050406030204" pitchFamily="18" charset="0"/>
              <a:cs typeface="Calibri"/>
            </a:rPr>
            <a:pPr/>
            <a:t>$123.4K</a:t>
          </a:fld>
          <a:endParaRPr lang="en-US" sz="14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8</xdr:col>
      <xdr:colOff>114300</xdr:colOff>
      <xdr:row>10</xdr:row>
      <xdr:rowOff>171450</xdr:rowOff>
    </xdr:from>
    <xdr:to>
      <xdr:col>9</xdr:col>
      <xdr:colOff>466725</xdr:colOff>
      <xdr:row>12</xdr:row>
      <xdr:rowOff>152400</xdr:rowOff>
    </xdr:to>
    <xdr:sp macro="" textlink="Sheet4!B8">
      <xdr:nvSpPr>
        <xdr:cNvPr id="15" name="TextBox 14">
          <a:extLst>
            <a:ext uri="{FF2B5EF4-FFF2-40B4-BE49-F238E27FC236}">
              <a16:creationId xmlns:a16="http://schemas.microsoft.com/office/drawing/2014/main" id="{BD6E7F0F-F641-4FF9-88D6-7050207A7C6E}"/>
            </a:ext>
          </a:extLst>
        </xdr:cNvPr>
        <xdr:cNvSpPr txBox="1"/>
      </xdr:nvSpPr>
      <xdr:spPr>
        <a:xfrm>
          <a:off x="4991100" y="2076450"/>
          <a:ext cx="9620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63D9D3-3149-4FD2-9EE8-27C35BB462C9}" type="TxLink">
            <a:rPr lang="en-US" sz="1800" b="1" i="0" u="none" strike="noStrike">
              <a:solidFill>
                <a:srgbClr val="00B050"/>
              </a:solidFill>
              <a:latin typeface="Cambria" panose="02040503050406030204" pitchFamily="18" charset="0"/>
              <a:ea typeface="Cambria" panose="02040503050406030204" pitchFamily="18" charset="0"/>
              <a:cs typeface="Calibri"/>
            </a:rPr>
            <a:pPr algn="ctr"/>
            <a:t>86%</a:t>
          </a:fld>
          <a:endParaRPr lang="en-US" sz="1800" b="1">
            <a:solidFill>
              <a:srgbClr val="00B050"/>
            </a:solidFill>
            <a:latin typeface="Cambria" panose="02040503050406030204" pitchFamily="18" charset="0"/>
            <a:ea typeface="Cambria" panose="02040503050406030204" pitchFamily="18" charset="0"/>
          </a:endParaRPr>
        </a:p>
      </xdr:txBody>
    </xdr:sp>
    <xdr:clientData/>
  </xdr:twoCellAnchor>
  <xdr:twoCellAnchor>
    <xdr:from>
      <xdr:col>5</xdr:col>
      <xdr:colOff>514350</xdr:colOff>
      <xdr:row>13</xdr:row>
      <xdr:rowOff>95250</xdr:rowOff>
    </xdr:from>
    <xdr:to>
      <xdr:col>6</xdr:col>
      <xdr:colOff>9525</xdr:colOff>
      <xdr:row>14</xdr:row>
      <xdr:rowOff>9525</xdr:rowOff>
    </xdr:to>
    <xdr:sp macro="" textlink="">
      <xdr:nvSpPr>
        <xdr:cNvPr id="16" name="Rectangle 15">
          <a:extLst>
            <a:ext uri="{FF2B5EF4-FFF2-40B4-BE49-F238E27FC236}">
              <a16:creationId xmlns:a16="http://schemas.microsoft.com/office/drawing/2014/main" id="{0E893CAD-3209-4E9C-94B1-D821FAA85ADF}"/>
            </a:ext>
          </a:extLst>
        </xdr:cNvPr>
        <xdr:cNvSpPr/>
      </xdr:nvSpPr>
      <xdr:spPr>
        <a:xfrm>
          <a:off x="3562350" y="2571750"/>
          <a:ext cx="104775" cy="104775"/>
        </a:xfrm>
        <a:prstGeom prst="rect">
          <a:avLst/>
        </a:prstGeom>
        <a:solidFill>
          <a:srgbClr val="C00000">
            <a:alpha val="44000"/>
          </a:srgb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13</xdr:row>
      <xdr:rowOff>38100</xdr:rowOff>
    </xdr:from>
    <xdr:to>
      <xdr:col>8</xdr:col>
      <xdr:colOff>66675</xdr:colOff>
      <xdr:row>14</xdr:row>
      <xdr:rowOff>171450</xdr:rowOff>
    </xdr:to>
    <xdr:sp macro="" textlink="">
      <xdr:nvSpPr>
        <xdr:cNvPr id="17" name="TextBox 16">
          <a:extLst>
            <a:ext uri="{FF2B5EF4-FFF2-40B4-BE49-F238E27FC236}">
              <a16:creationId xmlns:a16="http://schemas.microsoft.com/office/drawing/2014/main" id="{BD872899-F9DD-40FB-93F0-EA07F0AE401A}"/>
            </a:ext>
          </a:extLst>
        </xdr:cNvPr>
        <xdr:cNvSpPr txBox="1"/>
      </xdr:nvSpPr>
      <xdr:spPr>
        <a:xfrm>
          <a:off x="3676650" y="2514600"/>
          <a:ext cx="12668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latin typeface="Cambria" panose="02040503050406030204" pitchFamily="18" charset="0"/>
              <a:ea typeface="Cambria" panose="02040503050406030204" pitchFamily="18" charset="0"/>
            </a:rPr>
            <a:t>Discount</a:t>
          </a:r>
          <a:r>
            <a:rPr lang="en-US" sz="1200" baseline="0">
              <a:solidFill>
                <a:schemeClr val="tx1"/>
              </a:solidFill>
              <a:latin typeface="Cambria" panose="02040503050406030204" pitchFamily="18" charset="0"/>
              <a:ea typeface="Cambria" panose="02040503050406030204" pitchFamily="18" charset="0"/>
            </a:rPr>
            <a:t> Spent :</a:t>
          </a:r>
          <a:endParaRPr lang="en-US" sz="1200">
            <a:solidFill>
              <a:schemeClr val="tx1"/>
            </a:solidFill>
            <a:latin typeface="Cambria" panose="02040503050406030204" pitchFamily="18" charset="0"/>
            <a:ea typeface="Cambria" panose="02040503050406030204" pitchFamily="18" charset="0"/>
          </a:endParaRPr>
        </a:p>
      </xdr:txBody>
    </xdr:sp>
    <xdr:clientData/>
  </xdr:twoCellAnchor>
  <xdr:twoCellAnchor>
    <xdr:from>
      <xdr:col>6</xdr:col>
      <xdr:colOff>34848</xdr:colOff>
      <xdr:row>14</xdr:row>
      <xdr:rowOff>44606</xdr:rowOff>
    </xdr:from>
    <xdr:to>
      <xdr:col>7</xdr:col>
      <xdr:colOff>596823</xdr:colOff>
      <xdr:row>15</xdr:row>
      <xdr:rowOff>104543</xdr:rowOff>
    </xdr:to>
    <xdr:sp macro="" textlink="Sheet4!$A$9">
      <xdr:nvSpPr>
        <xdr:cNvPr id="18" name="TextBox 17">
          <a:extLst>
            <a:ext uri="{FF2B5EF4-FFF2-40B4-BE49-F238E27FC236}">
              <a16:creationId xmlns:a16="http://schemas.microsoft.com/office/drawing/2014/main" id="{CFF6809D-5C79-4713-B986-EAF815D38BFF}"/>
            </a:ext>
          </a:extLst>
        </xdr:cNvPr>
        <xdr:cNvSpPr txBox="1"/>
      </xdr:nvSpPr>
      <xdr:spPr>
        <a:xfrm>
          <a:off x="3658994" y="2646557"/>
          <a:ext cx="1166000" cy="24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9849E0-C7BC-4FD6-BC56-D9A78A87373E}" type="TxLink">
            <a:rPr lang="en-US" sz="1400" b="1" i="0" u="none" strike="noStrike">
              <a:solidFill>
                <a:schemeClr val="bg1"/>
              </a:solidFill>
              <a:latin typeface="Cambria" panose="02040503050406030204" pitchFamily="18" charset="0"/>
              <a:ea typeface="Cambria" panose="02040503050406030204" pitchFamily="18" charset="0"/>
              <a:cs typeface="Calibri"/>
            </a:rPr>
            <a:pPr marL="0" indent="0"/>
            <a:t>$20.2K</a:t>
          </a:fld>
          <a:endParaRPr lang="en-US" sz="1400" b="1" i="0" u="none" strike="noStrike">
            <a:solidFill>
              <a:schemeClr val="bg1"/>
            </a:solidFill>
            <a:latin typeface="Cambria" panose="02040503050406030204" pitchFamily="18" charset="0"/>
            <a:ea typeface="Cambria" panose="02040503050406030204" pitchFamily="18" charset="0"/>
            <a:cs typeface="Calibri"/>
          </a:endParaRPr>
        </a:p>
      </xdr:txBody>
    </xdr:sp>
    <xdr:clientData/>
  </xdr:twoCellAnchor>
  <xdr:twoCellAnchor>
    <xdr:from>
      <xdr:col>8</xdr:col>
      <xdr:colOff>219075</xdr:colOff>
      <xdr:row>14</xdr:row>
      <xdr:rowOff>57150</xdr:rowOff>
    </xdr:from>
    <xdr:to>
      <xdr:col>9</xdr:col>
      <xdr:colOff>381000</xdr:colOff>
      <xdr:row>15</xdr:row>
      <xdr:rowOff>161925</xdr:rowOff>
    </xdr:to>
    <xdr:sp macro="" textlink="Sheet4!B9">
      <xdr:nvSpPr>
        <xdr:cNvPr id="19" name="TextBox 18">
          <a:extLst>
            <a:ext uri="{FF2B5EF4-FFF2-40B4-BE49-F238E27FC236}">
              <a16:creationId xmlns:a16="http://schemas.microsoft.com/office/drawing/2014/main" id="{2A1EECD3-E0F0-477E-8243-05CD24642A17}"/>
            </a:ext>
          </a:extLst>
        </xdr:cNvPr>
        <xdr:cNvSpPr txBox="1"/>
      </xdr:nvSpPr>
      <xdr:spPr>
        <a:xfrm>
          <a:off x="5095875" y="2724150"/>
          <a:ext cx="771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92E55F-F14B-4769-AEB0-FB3A26F8FBDD}" type="TxLink">
            <a:rPr lang="en-US" sz="1800" b="1" i="0" u="none" strike="noStrike">
              <a:solidFill>
                <a:srgbClr val="C00000"/>
              </a:solidFill>
              <a:latin typeface="Cambria" panose="02040503050406030204" pitchFamily="18" charset="0"/>
              <a:ea typeface="Cambria" panose="02040503050406030204" pitchFamily="18" charset="0"/>
              <a:cs typeface="Calibri"/>
            </a:rPr>
            <a:pPr marL="0" indent="0" algn="ctr"/>
            <a:t>14%</a:t>
          </a:fld>
          <a:endParaRPr lang="en-US" sz="1800" b="1" i="0" u="none" strike="noStrike">
            <a:solidFill>
              <a:srgbClr val="C00000"/>
            </a:solidFill>
            <a:latin typeface="Cambria" panose="02040503050406030204" pitchFamily="18" charset="0"/>
            <a:ea typeface="Cambria" panose="02040503050406030204" pitchFamily="18" charset="0"/>
            <a:cs typeface="Calibri"/>
          </a:endParaRPr>
        </a:p>
      </xdr:txBody>
    </xdr:sp>
    <xdr:clientData/>
  </xdr:twoCellAnchor>
  <xdr:twoCellAnchor>
    <xdr:from>
      <xdr:col>5</xdr:col>
      <xdr:colOff>152400</xdr:colOff>
      <xdr:row>16</xdr:row>
      <xdr:rowOff>19051</xdr:rowOff>
    </xdr:from>
    <xdr:to>
      <xdr:col>11</xdr:col>
      <xdr:colOff>47625</xdr:colOff>
      <xdr:row>20</xdr:row>
      <xdr:rowOff>114300</xdr:rowOff>
    </xdr:to>
    <xdr:sp macro="" textlink="">
      <xdr:nvSpPr>
        <xdr:cNvPr id="21" name="TextBox 20">
          <a:extLst>
            <a:ext uri="{FF2B5EF4-FFF2-40B4-BE49-F238E27FC236}">
              <a16:creationId xmlns:a16="http://schemas.microsoft.com/office/drawing/2014/main" id="{80975D72-C15D-42BB-B6C5-B8CE45E79254}"/>
            </a:ext>
          </a:extLst>
        </xdr:cNvPr>
        <xdr:cNvSpPr txBox="1"/>
      </xdr:nvSpPr>
      <xdr:spPr>
        <a:xfrm>
          <a:off x="3200400" y="3067051"/>
          <a:ext cx="3552825" cy="85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Cambria" panose="02040503050406030204" pitchFamily="18" charset="0"/>
              <a:ea typeface="Cambria" panose="02040503050406030204" pitchFamily="18" charset="0"/>
            </a:rPr>
            <a:t>1 in</a:t>
          </a:r>
          <a:r>
            <a:rPr lang="en-US" sz="1200" baseline="0">
              <a:latin typeface="Cambria" panose="02040503050406030204" pitchFamily="18" charset="0"/>
              <a:ea typeface="Cambria" panose="02040503050406030204" pitchFamily="18" charset="0"/>
            </a:rPr>
            <a:t> every 5 dollar is given away as discount, At 10% discount tier is most efficient.</a:t>
          </a:r>
        </a:p>
        <a:p>
          <a:pPr algn="l"/>
          <a:r>
            <a:rPr lang="en-US" sz="1200" baseline="0">
              <a:latin typeface="Cambria" panose="02040503050406030204" pitchFamily="18" charset="0"/>
              <a:ea typeface="Cambria" panose="02040503050406030204" pitchFamily="18" charset="0"/>
            </a:rPr>
            <a:t>Consider reviewing 15% and 20% tiers to recover profit margiin.</a:t>
          </a:r>
          <a:endParaRPr lang="en-US" sz="1200">
            <a:latin typeface="Cambria" panose="02040503050406030204" pitchFamily="18" charset="0"/>
            <a:ea typeface="Cambria" panose="02040503050406030204" pitchFamily="18" charset="0"/>
          </a:endParaRPr>
        </a:p>
      </xdr:txBody>
    </xdr:sp>
    <xdr:clientData/>
  </xdr:twoCellAnchor>
  <xdr:twoCellAnchor>
    <xdr:from>
      <xdr:col>1</xdr:col>
      <xdr:colOff>55218</xdr:colOff>
      <xdr:row>23</xdr:row>
      <xdr:rowOff>133350</xdr:rowOff>
    </xdr:from>
    <xdr:to>
      <xdr:col>12</xdr:col>
      <xdr:colOff>290396</xdr:colOff>
      <xdr:row>43</xdr:row>
      <xdr:rowOff>116159</xdr:rowOff>
    </xdr:to>
    <xdr:sp macro="" textlink="">
      <xdr:nvSpPr>
        <xdr:cNvPr id="24" name="Rectangle: Rounded Corners 23">
          <a:extLst>
            <a:ext uri="{FF2B5EF4-FFF2-40B4-BE49-F238E27FC236}">
              <a16:creationId xmlns:a16="http://schemas.microsoft.com/office/drawing/2014/main" id="{F867890E-4C67-4A4A-B8A7-5F0575BF625C}"/>
            </a:ext>
          </a:extLst>
        </xdr:cNvPr>
        <xdr:cNvSpPr/>
      </xdr:nvSpPr>
      <xdr:spPr>
        <a:xfrm>
          <a:off x="662609" y="4578350"/>
          <a:ext cx="6916483" cy="3848026"/>
        </a:xfrm>
        <a:prstGeom prst="roundRect">
          <a:avLst>
            <a:gd name="adj" fmla="val 20696"/>
          </a:avLst>
        </a:prstGeom>
        <a:gradFill>
          <a:gsLst>
            <a:gs pos="6000">
              <a:schemeClr val="accent4">
                <a:lumMod val="20000"/>
                <a:lumOff val="80000"/>
                <a:alpha val="71000"/>
              </a:schemeClr>
            </a:gs>
            <a:gs pos="32000">
              <a:schemeClr val="accent4">
                <a:lumMod val="20000"/>
                <a:lumOff val="80000"/>
              </a:schemeClr>
            </a:gs>
            <a:gs pos="64000">
              <a:schemeClr val="tx1">
                <a:lumMod val="50000"/>
                <a:lumOff val="50000"/>
              </a:schemeClr>
            </a:gs>
          </a:gsLst>
          <a:lin ang="10800000" scaled="0"/>
        </a:gradFill>
        <a:ln w="19050">
          <a:noFill/>
          <a:miter lim="800000"/>
        </a:ln>
        <a:effectLst>
          <a:glow rad="50800">
            <a:schemeClr val="accent4">
              <a:lumMod val="40000"/>
              <a:lumOff val="60000"/>
            </a:schemeClr>
          </a:glow>
          <a:outerShdw blurRad="152400" dist="38100" dir="3060000" algn="tl" rotWithShape="0">
            <a:schemeClr val="accent4">
              <a:lumMod val="60000"/>
              <a:lumOff val="40000"/>
              <a:alpha val="40000"/>
            </a:scheme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1">
            <a:solidFill>
              <a:schemeClr val="lt1"/>
            </a:solidFill>
            <a:latin typeface="Cambria" panose="02040503050406030204" pitchFamily="18" charset="0"/>
            <a:ea typeface="Cambria" panose="02040503050406030204" pitchFamily="18" charset="0"/>
            <a:cs typeface="+mn-cs"/>
          </a:endParaRPr>
        </a:p>
      </xdr:txBody>
    </xdr:sp>
    <xdr:clientData/>
  </xdr:twoCellAnchor>
  <xdr:twoCellAnchor>
    <xdr:from>
      <xdr:col>2</xdr:col>
      <xdr:colOff>123825</xdr:colOff>
      <xdr:row>24</xdr:row>
      <xdr:rowOff>0</xdr:rowOff>
    </xdr:from>
    <xdr:to>
      <xdr:col>9</xdr:col>
      <xdr:colOff>255548</xdr:colOff>
      <xdr:row>41</xdr:row>
      <xdr:rowOff>104543</xdr:rowOff>
    </xdr:to>
    <xdr:graphicFrame macro="">
      <xdr:nvGraphicFramePr>
        <xdr:cNvPr id="23" name="Chart 22">
          <a:extLst>
            <a:ext uri="{FF2B5EF4-FFF2-40B4-BE49-F238E27FC236}">
              <a16:creationId xmlns:a16="http://schemas.microsoft.com/office/drawing/2014/main" id="{05145313-A831-40E6-B838-9B5EF3B32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25162</xdr:colOff>
      <xdr:row>7</xdr:row>
      <xdr:rowOff>71332</xdr:rowOff>
    </xdr:from>
    <xdr:to>
      <xdr:col>27</xdr:col>
      <xdr:colOff>14477</xdr:colOff>
      <xdr:row>34</xdr:row>
      <xdr:rowOff>108243</xdr:rowOff>
    </xdr:to>
    <xdr:sp macro="" textlink="">
      <xdr:nvSpPr>
        <xdr:cNvPr id="3" name="Rectangle: Rounded Corners 2">
          <a:extLst>
            <a:ext uri="{FF2B5EF4-FFF2-40B4-BE49-F238E27FC236}">
              <a16:creationId xmlns:a16="http://schemas.microsoft.com/office/drawing/2014/main" id="{406E1B9A-6583-48C1-8F0E-822869AC3353}"/>
            </a:ext>
          </a:extLst>
        </xdr:cNvPr>
        <xdr:cNvSpPr/>
      </xdr:nvSpPr>
      <xdr:spPr>
        <a:xfrm>
          <a:off x="6706466" y="1424158"/>
          <a:ext cx="9707576" cy="5254955"/>
        </a:xfrm>
        <a:prstGeom prst="roundRect">
          <a:avLst>
            <a:gd name="adj" fmla="val 20696"/>
          </a:avLst>
        </a:prstGeom>
        <a:gradFill>
          <a:gsLst>
            <a:gs pos="17000">
              <a:schemeClr val="accent4">
                <a:lumMod val="20000"/>
                <a:lumOff val="80000"/>
                <a:alpha val="71000"/>
              </a:schemeClr>
            </a:gs>
            <a:gs pos="54000">
              <a:schemeClr val="accent4">
                <a:lumMod val="40000"/>
                <a:lumOff val="60000"/>
              </a:schemeClr>
            </a:gs>
            <a:gs pos="98000">
              <a:schemeClr val="tx1">
                <a:lumMod val="85000"/>
                <a:lumOff val="15000"/>
              </a:schemeClr>
            </a:gs>
          </a:gsLst>
          <a:lin ang="10800000" scaled="0"/>
        </a:gradFill>
        <a:ln w="19050">
          <a:noFill/>
          <a:miter lim="800000"/>
        </a:ln>
        <a:effectLst>
          <a:glow rad="50800">
            <a:schemeClr val="accent4">
              <a:lumMod val="40000"/>
              <a:lumOff val="60000"/>
            </a:schemeClr>
          </a:glow>
          <a:outerShdw blurRad="152400" dist="38100" dir="3060000" algn="tl" rotWithShape="0">
            <a:schemeClr val="accent4">
              <a:lumMod val="60000"/>
              <a:lumOff val="40000"/>
              <a:alpha val="40000"/>
            </a:scheme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1">
            <a:solidFill>
              <a:schemeClr val="lt1"/>
            </a:solidFill>
            <a:latin typeface="Cambria" panose="02040503050406030204" pitchFamily="18" charset="0"/>
            <a:ea typeface="Cambria" panose="02040503050406030204" pitchFamily="18" charset="0"/>
            <a:cs typeface="+mn-cs"/>
          </a:endParaRPr>
        </a:p>
      </xdr:txBody>
    </xdr:sp>
    <xdr:clientData/>
  </xdr:twoCellAnchor>
  <xdr:twoCellAnchor>
    <xdr:from>
      <xdr:col>11</xdr:col>
      <xdr:colOff>400110</xdr:colOff>
      <xdr:row>8</xdr:row>
      <xdr:rowOff>145896</xdr:rowOff>
    </xdr:from>
    <xdr:to>
      <xdr:col>20</xdr:col>
      <xdr:colOff>62785</xdr:colOff>
      <xdr:row>17</xdr:row>
      <xdr:rowOff>17192</xdr:rowOff>
    </xdr:to>
    <xdr:graphicFrame macro="">
      <xdr:nvGraphicFramePr>
        <xdr:cNvPr id="20" name="Chart 19">
          <a:extLst>
            <a:ext uri="{FF2B5EF4-FFF2-40B4-BE49-F238E27FC236}">
              <a16:creationId xmlns:a16="http://schemas.microsoft.com/office/drawing/2014/main" id="{57EC7EDB-FD85-4E0D-80C2-89A33C405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86190</xdr:colOff>
      <xdr:row>16</xdr:row>
      <xdr:rowOff>135439</xdr:rowOff>
    </xdr:from>
    <xdr:to>
      <xdr:col>26</xdr:col>
      <xdr:colOff>442564</xdr:colOff>
      <xdr:row>21</xdr:row>
      <xdr:rowOff>68764</xdr:rowOff>
    </xdr:to>
    <xdr:sp macro="" textlink="">
      <xdr:nvSpPr>
        <xdr:cNvPr id="22" name="TextBox 21">
          <a:extLst>
            <a:ext uri="{FF2B5EF4-FFF2-40B4-BE49-F238E27FC236}">
              <a16:creationId xmlns:a16="http://schemas.microsoft.com/office/drawing/2014/main" id="{850A16FC-68D1-46C3-AC13-E85B3FE61D3C}"/>
            </a:ext>
          </a:extLst>
        </xdr:cNvPr>
        <xdr:cNvSpPr txBox="1"/>
      </xdr:nvSpPr>
      <xdr:spPr>
        <a:xfrm>
          <a:off x="11562653" y="3109098"/>
          <a:ext cx="4584545" cy="862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mbria" panose="02040503050406030204" pitchFamily="18" charset="0"/>
              <a:ea typeface="Cambria" panose="02040503050406030204" pitchFamily="18" charset="0"/>
            </a:rPr>
            <a:t>Average Monthly Sales Trend</a:t>
          </a:r>
          <a:endParaRPr lang="en-US" sz="1200">
            <a:latin typeface="Cambria" panose="02040503050406030204" pitchFamily="18" charset="0"/>
            <a:ea typeface="Cambria" panose="02040503050406030204" pitchFamily="18" charset="0"/>
          </a:endParaRPr>
        </a:p>
        <a:p>
          <a:r>
            <a:rPr lang="en-US" sz="1200">
              <a:latin typeface="Cambria" panose="02040503050406030204" pitchFamily="18" charset="0"/>
              <a:ea typeface="Cambria" panose="02040503050406030204" pitchFamily="18" charset="0"/>
            </a:rPr>
            <a:t>November consistently peaks across 2023 and 2024. </a:t>
          </a:r>
          <a:r>
            <a:rPr lang="en-US" sz="1200" baseline="0">
              <a:solidFill>
                <a:schemeClr val="dk1"/>
              </a:solidFill>
              <a:latin typeface="Cambria" panose="02040503050406030204" pitchFamily="18" charset="0"/>
              <a:ea typeface="Cambria" panose="02040503050406030204" pitchFamily="18" charset="0"/>
              <a:cs typeface="+mn-cs"/>
            </a:rPr>
            <a:t>Revenue</a:t>
          </a:r>
          <a:r>
            <a:rPr lang="en-US" sz="1200">
              <a:latin typeface="Cambria" panose="02040503050406030204" pitchFamily="18" charset="0"/>
              <a:ea typeface="Cambria" panose="02040503050406030204" pitchFamily="18" charset="0"/>
            </a:rPr>
            <a:t> remains stable year-round with no extreme slow periods — indicating healthy, predictable demand. Average revenue is stable across other months too.</a:t>
          </a:r>
        </a:p>
        <a:p>
          <a:endParaRPr lang="en-US" sz="1200">
            <a:latin typeface="Cambria" panose="02040503050406030204" pitchFamily="18" charset="0"/>
            <a:ea typeface="Cambria" panose="02040503050406030204" pitchFamily="18" charset="0"/>
          </a:endParaRPr>
        </a:p>
      </xdr:txBody>
    </xdr:sp>
    <xdr:clientData/>
  </xdr:twoCellAnchor>
  <xdr:twoCellAnchor>
    <xdr:from>
      <xdr:col>6</xdr:col>
      <xdr:colOff>290397</xdr:colOff>
      <xdr:row>35</xdr:row>
      <xdr:rowOff>69695</xdr:rowOff>
    </xdr:from>
    <xdr:to>
      <xdr:col>12</xdr:col>
      <xdr:colOff>81310</xdr:colOff>
      <xdr:row>43</xdr:row>
      <xdr:rowOff>139391</xdr:rowOff>
    </xdr:to>
    <xdr:sp macro="" textlink="">
      <xdr:nvSpPr>
        <xdr:cNvPr id="25" name="TextBox 24">
          <a:extLst>
            <a:ext uri="{FF2B5EF4-FFF2-40B4-BE49-F238E27FC236}">
              <a16:creationId xmlns:a16="http://schemas.microsoft.com/office/drawing/2014/main" id="{0ABD081E-F021-4D36-8AC2-A3D1B2CAFA0B}"/>
            </a:ext>
          </a:extLst>
        </xdr:cNvPr>
        <xdr:cNvSpPr txBox="1"/>
      </xdr:nvSpPr>
      <xdr:spPr>
        <a:xfrm>
          <a:off x="3914543" y="6574573"/>
          <a:ext cx="3415060" cy="1556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latin typeface="Cambria" panose="02040503050406030204" pitchFamily="18" charset="0"/>
              <a:ea typeface="Cambria" panose="02040503050406030204" pitchFamily="18" charset="0"/>
            </a:rPr>
            <a:t>Revenue</a:t>
          </a:r>
          <a:r>
            <a:rPr lang="en-US" sz="1400" b="1" baseline="0">
              <a:latin typeface="Cambria" panose="02040503050406030204" pitchFamily="18" charset="0"/>
              <a:ea typeface="Cambria" panose="02040503050406030204" pitchFamily="18" charset="0"/>
            </a:rPr>
            <a:t> by Product Category</a:t>
          </a:r>
          <a:endParaRPr lang="en-US" sz="1400" b="1">
            <a:latin typeface="Cambria" panose="02040503050406030204" pitchFamily="18" charset="0"/>
            <a:ea typeface="Cambria" panose="02040503050406030204" pitchFamily="18" charset="0"/>
          </a:endParaRPr>
        </a:p>
        <a:p>
          <a:pPr algn="l"/>
          <a:r>
            <a:rPr lang="en-US" sz="1400">
              <a:latin typeface="Cambria" panose="02040503050406030204" pitchFamily="18" charset="0"/>
              <a:ea typeface="Cambria" panose="02040503050406030204" pitchFamily="18" charset="0"/>
            </a:rPr>
            <a:t>Phones leads with $20k followed closely by Toys and Jewelry.  The bottom 5 categories</a:t>
          </a:r>
          <a:r>
            <a:rPr lang="en-US" sz="1400" baseline="0">
              <a:latin typeface="Cambria" panose="02040503050406030204" pitchFamily="18" charset="0"/>
              <a:ea typeface="Cambria" panose="02040503050406030204" pitchFamily="18" charset="0"/>
            </a:rPr>
            <a:t> are underperforming and require strategic review, whether through targeted promotions, price reviews or stock reallocations </a:t>
          </a:r>
          <a:endParaRPr lang="en-US" sz="1400">
            <a:latin typeface="Cambria" panose="02040503050406030204" pitchFamily="18" charset="0"/>
            <a:ea typeface="Cambria" panose="02040503050406030204" pitchFamily="18" charset="0"/>
          </a:endParaRPr>
        </a:p>
      </xdr:txBody>
    </xdr:sp>
    <xdr:clientData/>
  </xdr:twoCellAnchor>
  <xdr:twoCellAnchor>
    <xdr:from>
      <xdr:col>11</xdr:col>
      <xdr:colOff>170985</xdr:colOff>
      <xdr:row>21</xdr:row>
      <xdr:rowOff>0</xdr:rowOff>
    </xdr:from>
    <xdr:to>
      <xdr:col>21</xdr:col>
      <xdr:colOff>23232</xdr:colOff>
      <xdr:row>31</xdr:row>
      <xdr:rowOff>127775</xdr:rowOff>
    </xdr:to>
    <xdr:graphicFrame macro="">
      <xdr:nvGraphicFramePr>
        <xdr:cNvPr id="26" name="Chart 25">
          <a:extLst>
            <a:ext uri="{FF2B5EF4-FFF2-40B4-BE49-F238E27FC236}">
              <a16:creationId xmlns:a16="http://schemas.microsoft.com/office/drawing/2014/main" id="{8F6C701F-77C0-4E48-BE22-5783569D2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511096</xdr:colOff>
      <xdr:row>25</xdr:row>
      <xdr:rowOff>116158</xdr:rowOff>
    </xdr:from>
    <xdr:to>
      <xdr:col>26</xdr:col>
      <xdr:colOff>487865</xdr:colOff>
      <xdr:row>32</xdr:row>
      <xdr:rowOff>23232</xdr:rowOff>
    </xdr:to>
    <xdr:sp macro="" textlink="">
      <xdr:nvSpPr>
        <xdr:cNvPr id="27" name="TextBox 26">
          <a:extLst>
            <a:ext uri="{FF2B5EF4-FFF2-40B4-BE49-F238E27FC236}">
              <a16:creationId xmlns:a16="http://schemas.microsoft.com/office/drawing/2014/main" id="{29A188F2-72F6-4F3F-A607-A630748FCAD1}"/>
            </a:ext>
          </a:extLst>
        </xdr:cNvPr>
        <xdr:cNvSpPr txBox="1"/>
      </xdr:nvSpPr>
      <xdr:spPr>
        <a:xfrm>
          <a:off x="12591584" y="4762499"/>
          <a:ext cx="3600915" cy="120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mbria" panose="02040503050406030204" pitchFamily="18" charset="0"/>
              <a:ea typeface="Cambria" panose="02040503050406030204" pitchFamily="18" charset="0"/>
            </a:rPr>
            <a:t>Branch Performance Overview</a:t>
          </a:r>
          <a:endParaRPr lang="en-US" sz="1200">
            <a:latin typeface="Cambria" panose="02040503050406030204" pitchFamily="18" charset="0"/>
            <a:ea typeface="Cambria" panose="02040503050406030204" pitchFamily="18" charset="0"/>
          </a:endParaRPr>
        </a:p>
        <a:p>
          <a:r>
            <a:rPr lang="en-US" sz="1200">
              <a:latin typeface="Cambria" panose="02040503050406030204" pitchFamily="18" charset="0"/>
              <a:ea typeface="Cambria" panose="02040503050406030204" pitchFamily="18" charset="0"/>
            </a:rPr>
            <a:t>N02 leads all locations in revenue. C02 is the weakest performer and requires urgent attention. Regional distribution across all branches shows uneven performance worth investigating.</a:t>
          </a:r>
        </a:p>
        <a:p>
          <a:endParaRPr lang="en-US" sz="1200">
            <a:latin typeface="Cambria" panose="02040503050406030204" pitchFamily="18" charset="0"/>
            <a:ea typeface="Cambria" panose="02040503050406030204" pitchFamily="18" charset="0"/>
          </a:endParaRPr>
        </a:p>
      </xdr:txBody>
    </xdr:sp>
    <xdr:clientData/>
  </xdr:twoCellAnchor>
  <xdr:twoCellAnchor>
    <xdr:from>
      <xdr:col>14</xdr:col>
      <xdr:colOff>366152</xdr:colOff>
      <xdr:row>0</xdr:row>
      <xdr:rowOff>171376</xdr:rowOff>
    </xdr:from>
    <xdr:to>
      <xdr:col>19</xdr:col>
      <xdr:colOff>37542</xdr:colOff>
      <xdr:row>3</xdr:row>
      <xdr:rowOff>55218</xdr:rowOff>
    </xdr:to>
    <xdr:sp macro="" textlink="">
      <xdr:nvSpPr>
        <xdr:cNvPr id="28" name="TextBox 27">
          <a:extLst>
            <a:ext uri="{FF2B5EF4-FFF2-40B4-BE49-F238E27FC236}">
              <a16:creationId xmlns:a16="http://schemas.microsoft.com/office/drawing/2014/main" id="{2DF0B63A-DEDE-4445-86C2-204C966886FF}"/>
            </a:ext>
          </a:extLst>
        </xdr:cNvPr>
        <xdr:cNvSpPr txBox="1"/>
      </xdr:nvSpPr>
      <xdr:spPr>
        <a:xfrm>
          <a:off x="8869630" y="171376"/>
          <a:ext cx="2708347" cy="463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latin typeface="Cambria" panose="02040503050406030204" pitchFamily="18" charset="0"/>
              <a:ea typeface="Cambria" panose="02040503050406030204" pitchFamily="18" charset="0"/>
            </a:rPr>
            <a:t>YoY</a:t>
          </a:r>
          <a:r>
            <a:rPr lang="en-US" sz="1800" b="1" baseline="0">
              <a:solidFill>
                <a:schemeClr val="tx1"/>
              </a:solidFill>
              <a:latin typeface="Cambria" panose="02040503050406030204" pitchFamily="18" charset="0"/>
              <a:ea typeface="Cambria" panose="02040503050406030204" pitchFamily="18" charset="0"/>
            </a:rPr>
            <a:t> Revenue Growth</a:t>
          </a:r>
          <a:endParaRPr lang="en-US" sz="18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16</xdr:col>
      <xdr:colOff>308410</xdr:colOff>
      <xdr:row>2</xdr:row>
      <xdr:rowOff>42758</xdr:rowOff>
    </xdr:from>
    <xdr:to>
      <xdr:col>18</xdr:col>
      <xdr:colOff>18015</xdr:colOff>
      <xdr:row>4</xdr:row>
      <xdr:rowOff>177940</xdr:rowOff>
    </xdr:to>
    <xdr:sp macro="" textlink="Sheet4!I18">
      <xdr:nvSpPr>
        <xdr:cNvPr id="29" name="TextBox 28">
          <a:extLst>
            <a:ext uri="{FF2B5EF4-FFF2-40B4-BE49-F238E27FC236}">
              <a16:creationId xmlns:a16="http://schemas.microsoft.com/office/drawing/2014/main" id="{46A9BFC7-437D-40A3-99E4-F1C9558D9566}"/>
            </a:ext>
          </a:extLst>
        </xdr:cNvPr>
        <xdr:cNvSpPr txBox="1"/>
      </xdr:nvSpPr>
      <xdr:spPr>
        <a:xfrm>
          <a:off x="10026671" y="429280"/>
          <a:ext cx="924387" cy="521703"/>
        </a:xfrm>
        <a:prstGeom prst="rect">
          <a:avLst/>
        </a:prstGeom>
        <a:noFill/>
        <a:ln w="9525" cmpd="sng">
          <a:noFill/>
        </a:ln>
        <a:effectLst>
          <a:glow rad="63500">
            <a:schemeClr val="accent3">
              <a:lumMod val="20000"/>
              <a:lumOff val="80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540898-C785-4919-AD45-679AD0C65CBE}" type="TxLink">
            <a:rPr lang="en-US" sz="2400" b="1" i="0" u="none" strike="noStrike">
              <a:solidFill>
                <a:srgbClr val="89CC40"/>
              </a:solidFill>
              <a:latin typeface="Arial Black" panose="020B0A04020102020204" pitchFamily="34" charset="0"/>
              <a:ea typeface="Cambria" panose="02040503050406030204" pitchFamily="18" charset="0"/>
              <a:cs typeface="Calibri"/>
            </a:rPr>
            <a:pPr algn="ctr"/>
            <a:t>23%</a:t>
          </a:fld>
          <a:endParaRPr lang="en-US" sz="2400" b="1">
            <a:solidFill>
              <a:srgbClr val="89CC40"/>
            </a:solidFill>
            <a:latin typeface="Arial Black" panose="020B0A04020102020204" pitchFamily="34" charset="0"/>
            <a:ea typeface="Cambria" panose="02040503050406030204" pitchFamily="18" charset="0"/>
          </a:endParaRPr>
        </a:p>
      </xdr:txBody>
    </xdr:sp>
    <xdr:clientData/>
  </xdr:twoCellAnchor>
  <xdr:twoCellAnchor>
    <xdr:from>
      <xdr:col>15</xdr:col>
      <xdr:colOff>48989</xdr:colOff>
      <xdr:row>4</xdr:row>
      <xdr:rowOff>113971</xdr:rowOff>
    </xdr:from>
    <xdr:to>
      <xdr:col>17</xdr:col>
      <xdr:colOff>14145</xdr:colOff>
      <xdr:row>6</xdr:row>
      <xdr:rowOff>102355</xdr:rowOff>
    </xdr:to>
    <xdr:sp macro="" textlink="Sheet4!I18">
      <xdr:nvSpPr>
        <xdr:cNvPr id="30" name="TextBox 29">
          <a:extLst>
            <a:ext uri="{FF2B5EF4-FFF2-40B4-BE49-F238E27FC236}">
              <a16:creationId xmlns:a16="http://schemas.microsoft.com/office/drawing/2014/main" id="{902AEF2D-D0E6-4DC8-BF1A-DC9EF7329412}"/>
            </a:ext>
          </a:extLst>
        </xdr:cNvPr>
        <xdr:cNvSpPr txBox="1"/>
      </xdr:nvSpPr>
      <xdr:spPr>
        <a:xfrm>
          <a:off x="9159859" y="887014"/>
          <a:ext cx="1179938" cy="374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Cambria" panose="02040503050406030204" pitchFamily="18" charset="0"/>
              <a:ea typeface="Cambria" panose="02040503050406030204" pitchFamily="18" charset="0"/>
            </a:rPr>
            <a:t>2023</a:t>
          </a:r>
        </a:p>
      </xdr:txBody>
    </xdr:sp>
    <xdr:clientData/>
  </xdr:twoCellAnchor>
  <xdr:twoCellAnchor>
    <xdr:from>
      <xdr:col>16</xdr:col>
      <xdr:colOff>336185</xdr:colOff>
      <xdr:row>4</xdr:row>
      <xdr:rowOff>129963</xdr:rowOff>
    </xdr:from>
    <xdr:to>
      <xdr:col>18</xdr:col>
      <xdr:colOff>312954</xdr:colOff>
      <xdr:row>6</xdr:row>
      <xdr:rowOff>118347</xdr:rowOff>
    </xdr:to>
    <xdr:sp macro="" textlink="Sheet4!I18">
      <xdr:nvSpPr>
        <xdr:cNvPr id="31" name="TextBox 30">
          <a:extLst>
            <a:ext uri="{FF2B5EF4-FFF2-40B4-BE49-F238E27FC236}">
              <a16:creationId xmlns:a16="http://schemas.microsoft.com/office/drawing/2014/main" id="{5D775D05-D54E-4C0C-A3EB-8F5F1C0E890A}"/>
            </a:ext>
          </a:extLst>
        </xdr:cNvPr>
        <xdr:cNvSpPr txBox="1"/>
      </xdr:nvSpPr>
      <xdr:spPr>
        <a:xfrm>
          <a:off x="10054446" y="903006"/>
          <a:ext cx="1191551" cy="374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Cambria" panose="02040503050406030204" pitchFamily="18" charset="0"/>
              <a:ea typeface="Cambria" panose="02040503050406030204" pitchFamily="18" charset="0"/>
            </a:rPr>
            <a:t>2024</a:t>
          </a:r>
        </a:p>
      </xdr:txBody>
    </xdr:sp>
    <xdr:clientData/>
  </xdr:twoCellAnchor>
  <xdr:twoCellAnchor editAs="oneCell">
    <xdr:from>
      <xdr:col>16</xdr:col>
      <xdr:colOff>326757</xdr:colOff>
      <xdr:row>4</xdr:row>
      <xdr:rowOff>159761</xdr:rowOff>
    </xdr:from>
    <xdr:to>
      <xdr:col>17</xdr:col>
      <xdr:colOff>27608</xdr:colOff>
      <xdr:row>6</xdr:row>
      <xdr:rowOff>82826</xdr:rowOff>
    </xdr:to>
    <xdr:pic>
      <xdr:nvPicPr>
        <xdr:cNvPr id="33" name="Graphic 32" descr="Line arrow: Straight with solid fill">
          <a:extLst>
            <a:ext uri="{FF2B5EF4-FFF2-40B4-BE49-F238E27FC236}">
              <a16:creationId xmlns:a16="http://schemas.microsoft.com/office/drawing/2014/main" id="{D87AFE11-DB5A-4FA4-B558-2A665865852E}"/>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rot="10800000">
          <a:off x="10045018" y="932804"/>
          <a:ext cx="308242" cy="309587"/>
        </a:xfrm>
        <a:prstGeom prst="rect">
          <a:avLst/>
        </a:prstGeom>
      </xdr:spPr>
    </xdr:pic>
    <xdr:clientData fLocksWithSheet="0"/>
  </xdr:twoCellAnchor>
  <xdr:twoCellAnchor>
    <xdr:from>
      <xdr:col>14</xdr:col>
      <xdr:colOff>488203</xdr:colOff>
      <xdr:row>5</xdr:row>
      <xdr:rowOff>185853</xdr:rowOff>
    </xdr:from>
    <xdr:to>
      <xdr:col>20</xdr:col>
      <xdr:colOff>89899</xdr:colOff>
      <xdr:row>7</xdr:row>
      <xdr:rowOff>104541</xdr:rowOff>
    </xdr:to>
    <xdr:sp macro="" textlink="">
      <xdr:nvSpPr>
        <xdr:cNvPr id="36" name="TextBox 35">
          <a:extLst>
            <a:ext uri="{FF2B5EF4-FFF2-40B4-BE49-F238E27FC236}">
              <a16:creationId xmlns:a16="http://schemas.microsoft.com/office/drawing/2014/main" id="{A00F5231-5550-4315-B675-A95D755F35A9}"/>
            </a:ext>
          </a:extLst>
        </xdr:cNvPr>
        <xdr:cNvSpPr txBox="1"/>
      </xdr:nvSpPr>
      <xdr:spPr>
        <a:xfrm>
          <a:off x="8991681" y="1152157"/>
          <a:ext cx="3246044" cy="305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Cambria" panose="02040503050406030204" pitchFamily="18" charset="0"/>
              <a:ea typeface="Cambria" panose="02040503050406030204" pitchFamily="18" charset="0"/>
            </a:rPr>
            <a:t>2025 excluded — partial year (Jan–Apr only)</a:t>
          </a:r>
        </a:p>
      </xdr:txBody>
    </xdr:sp>
    <xdr:clientData/>
  </xdr:twoCellAnchor>
  <xdr:twoCellAnchor>
    <xdr:from>
      <xdr:col>20</xdr:col>
      <xdr:colOff>338779</xdr:colOff>
      <xdr:row>0</xdr:row>
      <xdr:rowOff>146629</xdr:rowOff>
    </xdr:from>
    <xdr:to>
      <xdr:col>24</xdr:col>
      <xdr:colOff>106461</xdr:colOff>
      <xdr:row>2</xdr:row>
      <xdr:rowOff>146629</xdr:rowOff>
    </xdr:to>
    <xdr:sp macro="" textlink="">
      <xdr:nvSpPr>
        <xdr:cNvPr id="38" name="Text Box 1">
          <a:extLst>
            <a:ext uri="{FF2B5EF4-FFF2-40B4-BE49-F238E27FC236}">
              <a16:creationId xmlns:a16="http://schemas.microsoft.com/office/drawing/2014/main" id="{B3E0E9D4-1EED-4091-ABEB-EE17ABDDE3A7}"/>
            </a:ext>
          </a:extLst>
        </xdr:cNvPr>
        <xdr:cNvSpPr txBox="1">
          <a:spLocks noChangeArrowheads="1"/>
        </xdr:cNvSpPr>
      </xdr:nvSpPr>
      <xdr:spPr bwMode="auto">
        <a:xfrm>
          <a:off x="12486605" y="146629"/>
          <a:ext cx="2197247" cy="386522"/>
        </a:xfrm>
        <a:prstGeom prst="rect">
          <a:avLst/>
        </a:prstGeom>
        <a:noFill/>
        <a:ln w="9525">
          <a:noFill/>
          <a:miter lim="800000"/>
          <a:headEnd/>
          <a:tailEnd/>
        </a:ln>
      </xdr:spPr>
      <xdr:txBody>
        <a:bodyPr vertOverflow="clip" wrap="square" lIns="27432" tIns="22860" rIns="0" bIns="0" anchor="t" upright="1"/>
        <a:lstStyle/>
        <a:p>
          <a:pPr algn="ctr" rtl="0">
            <a:defRPr sz="1000"/>
          </a:pPr>
          <a:r>
            <a:rPr lang="en-US" sz="1800" b="1" i="0" u="none" strike="noStrike" baseline="0">
              <a:solidFill>
                <a:schemeClr val="tx1"/>
              </a:solidFill>
              <a:latin typeface="Cambria" panose="02040503050406030204" pitchFamily="18" charset="0"/>
              <a:ea typeface="Cambria" panose="02040503050406030204" pitchFamily="18" charset="0"/>
              <a:cs typeface="Calibri"/>
            </a:rPr>
            <a:t>Profit</a:t>
          </a:r>
          <a:r>
            <a:rPr lang="en-US" sz="1600" b="1" i="0" u="none" strike="noStrike" baseline="0">
              <a:solidFill>
                <a:schemeClr val="tx1"/>
              </a:solidFill>
              <a:latin typeface="Cambria" panose="02040503050406030204" pitchFamily="18" charset="0"/>
              <a:ea typeface="Cambria" panose="02040503050406030204" pitchFamily="18" charset="0"/>
              <a:cs typeface="Calibri"/>
            </a:rPr>
            <a:t> Margin %</a:t>
          </a:r>
        </a:p>
      </xdr:txBody>
    </xdr:sp>
    <xdr:clientData/>
  </xdr:twoCellAnchor>
  <xdr:twoCellAnchor>
    <xdr:from>
      <xdr:col>20</xdr:col>
      <xdr:colOff>517664</xdr:colOff>
      <xdr:row>2</xdr:row>
      <xdr:rowOff>76932</xdr:rowOff>
    </xdr:from>
    <xdr:to>
      <xdr:col>23</xdr:col>
      <xdr:colOff>517664</xdr:colOff>
      <xdr:row>5</xdr:row>
      <xdr:rowOff>177268</xdr:rowOff>
    </xdr:to>
    <xdr:sp macro="" textlink="Sheet4!J19">
      <xdr:nvSpPr>
        <xdr:cNvPr id="37" name="TextBox 36">
          <a:extLst>
            <a:ext uri="{FF2B5EF4-FFF2-40B4-BE49-F238E27FC236}">
              <a16:creationId xmlns:a16="http://schemas.microsoft.com/office/drawing/2014/main" id="{4559FAF2-B3DC-4D24-A438-967D1F3CE759}"/>
            </a:ext>
          </a:extLst>
        </xdr:cNvPr>
        <xdr:cNvSpPr txBox="1"/>
      </xdr:nvSpPr>
      <xdr:spPr>
        <a:xfrm>
          <a:off x="12665490" y="463454"/>
          <a:ext cx="1822174" cy="680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21E71A-8BA3-43C8-89FC-FFB13BACF6F7}" type="TxLink">
            <a:rPr lang="en-US" sz="2400" b="1" i="0" u="none" strike="noStrike">
              <a:solidFill>
                <a:srgbClr val="C00000"/>
              </a:solidFill>
              <a:latin typeface="Cambria" panose="02040503050406030204" pitchFamily="18" charset="0"/>
              <a:ea typeface="Cambria" panose="02040503050406030204" pitchFamily="18" charset="0"/>
              <a:cs typeface="Calibri"/>
            </a:rPr>
            <a:pPr algn="ctr"/>
            <a:t>17%</a:t>
          </a:fld>
          <a:r>
            <a:rPr lang="en-US" sz="2400" b="1" i="0" u="none" strike="noStrike">
              <a:solidFill>
                <a:srgbClr val="C00000"/>
              </a:solidFill>
              <a:latin typeface="Cambria" panose="02040503050406030204" pitchFamily="18" charset="0"/>
              <a:ea typeface="Cambria" panose="02040503050406030204" pitchFamily="18" charset="0"/>
              <a:cs typeface="Calibri"/>
            </a:rPr>
            <a:t> </a:t>
          </a:r>
          <a:endParaRPr lang="en-US" sz="2400" b="1">
            <a:solidFill>
              <a:srgbClr val="C00000"/>
            </a:solidFill>
            <a:latin typeface="Cambria" panose="02040503050406030204" pitchFamily="18" charset="0"/>
            <a:ea typeface="Cambria" panose="02040503050406030204" pitchFamily="18" charset="0"/>
          </a:endParaRPr>
        </a:p>
      </xdr:txBody>
    </xdr:sp>
    <xdr:clientData/>
  </xdr:twoCellAnchor>
  <xdr:twoCellAnchor>
    <xdr:from>
      <xdr:col>20</xdr:col>
      <xdr:colOff>564125</xdr:colOff>
      <xdr:row>5</xdr:row>
      <xdr:rowOff>96631</xdr:rowOff>
    </xdr:from>
    <xdr:to>
      <xdr:col>21</xdr:col>
      <xdr:colOff>296959</xdr:colOff>
      <xdr:row>6</xdr:row>
      <xdr:rowOff>85688</xdr:rowOff>
    </xdr:to>
    <xdr:sp macro="" textlink="">
      <xdr:nvSpPr>
        <xdr:cNvPr id="39" name="Flowchart: Merge 38">
          <a:extLst>
            <a:ext uri="{FF2B5EF4-FFF2-40B4-BE49-F238E27FC236}">
              <a16:creationId xmlns:a16="http://schemas.microsoft.com/office/drawing/2014/main" id="{4B666FBF-5CFF-415F-AD75-8C20E74CCD0A}"/>
            </a:ext>
          </a:extLst>
        </xdr:cNvPr>
        <xdr:cNvSpPr/>
      </xdr:nvSpPr>
      <xdr:spPr>
        <a:xfrm>
          <a:off x="12711951" y="1062935"/>
          <a:ext cx="340225" cy="182318"/>
        </a:xfrm>
        <a:prstGeom prst="flowChartMerge">
          <a:avLst/>
        </a:prstGeom>
        <a:solidFill>
          <a:srgbClr val="C00000">
            <a:alpha val="5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64646</xdr:colOff>
      <xdr:row>4</xdr:row>
      <xdr:rowOff>188882</xdr:rowOff>
    </xdr:from>
    <xdr:to>
      <xdr:col>23</xdr:col>
      <xdr:colOff>459585</xdr:colOff>
      <xdr:row>6</xdr:row>
      <xdr:rowOff>135012</xdr:rowOff>
    </xdr:to>
    <xdr:sp macro="" textlink="Sheet4!J19">
      <xdr:nvSpPr>
        <xdr:cNvPr id="41" name="TextBox 40">
          <a:extLst>
            <a:ext uri="{FF2B5EF4-FFF2-40B4-BE49-F238E27FC236}">
              <a16:creationId xmlns:a16="http://schemas.microsoft.com/office/drawing/2014/main" id="{BD48CFB1-A6B0-42CB-8292-0DA79D6DB14F}"/>
            </a:ext>
          </a:extLst>
        </xdr:cNvPr>
        <xdr:cNvSpPr txBox="1"/>
      </xdr:nvSpPr>
      <xdr:spPr>
        <a:xfrm>
          <a:off x="12819863" y="961925"/>
          <a:ext cx="1609722" cy="332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C00000"/>
              </a:solidFill>
              <a:latin typeface="Cambria" panose="02040503050406030204" pitchFamily="18" charset="0"/>
              <a:ea typeface="Cambria" panose="02040503050406030204" pitchFamily="18" charset="0"/>
              <a:cs typeface="Calibri"/>
            </a:rPr>
            <a:t>-1%</a:t>
          </a:r>
          <a:r>
            <a:rPr lang="en-US" sz="1400" b="1" i="0" u="none" strike="noStrike" baseline="0">
              <a:solidFill>
                <a:srgbClr val="C00000"/>
              </a:solidFill>
              <a:latin typeface="Cambria" panose="02040503050406030204" pitchFamily="18" charset="0"/>
              <a:ea typeface="Cambria" panose="02040503050406030204" pitchFamily="18" charset="0"/>
              <a:cs typeface="Calibri"/>
            </a:rPr>
            <a:t> vs 2023</a:t>
          </a:r>
          <a:endParaRPr lang="en-US" sz="1600" b="1">
            <a:solidFill>
              <a:srgbClr val="C00000"/>
            </a:solidFill>
            <a:latin typeface="Cambria" panose="02040503050406030204" pitchFamily="18" charset="0"/>
            <a:ea typeface="Cambria" panose="02040503050406030204" pitchFamily="18" charset="0"/>
          </a:endParaRPr>
        </a:p>
      </xdr:txBody>
    </xdr:sp>
    <xdr:clientData/>
  </xdr:twoCellAnchor>
  <xdr:twoCellAnchor>
    <xdr:from>
      <xdr:col>25</xdr:col>
      <xdr:colOff>111444</xdr:colOff>
      <xdr:row>0</xdr:row>
      <xdr:rowOff>138044</xdr:rowOff>
    </xdr:from>
    <xdr:to>
      <xdr:col>31</xdr:col>
      <xdr:colOff>219355</xdr:colOff>
      <xdr:row>12</xdr:row>
      <xdr:rowOff>153195</xdr:rowOff>
    </xdr:to>
    <xdr:sp macro="" textlink="">
      <xdr:nvSpPr>
        <xdr:cNvPr id="42" name="Rectangle: Rounded Corners 41">
          <a:extLst>
            <a:ext uri="{FF2B5EF4-FFF2-40B4-BE49-F238E27FC236}">
              <a16:creationId xmlns:a16="http://schemas.microsoft.com/office/drawing/2014/main" id="{82159C96-2884-4D16-B2D1-A41A77C1C5E9}"/>
            </a:ext>
          </a:extLst>
        </xdr:cNvPr>
        <xdr:cNvSpPr/>
      </xdr:nvSpPr>
      <xdr:spPr>
        <a:xfrm>
          <a:off x="15296227" y="138044"/>
          <a:ext cx="3752258" cy="2334281"/>
        </a:xfrm>
        <a:prstGeom prst="roundRect">
          <a:avLst>
            <a:gd name="adj" fmla="val 20696"/>
          </a:avLst>
        </a:prstGeom>
        <a:gradFill>
          <a:gsLst>
            <a:gs pos="9000">
              <a:schemeClr val="accent4">
                <a:lumMod val="20000"/>
                <a:lumOff val="80000"/>
                <a:alpha val="52000"/>
              </a:schemeClr>
            </a:gs>
            <a:gs pos="100000">
              <a:schemeClr val="bg1">
                <a:lumMod val="50000"/>
              </a:schemeClr>
            </a:gs>
            <a:gs pos="51000">
              <a:schemeClr val="tx2">
                <a:lumMod val="40000"/>
                <a:lumOff val="60000"/>
              </a:schemeClr>
            </a:gs>
          </a:gsLst>
          <a:lin ang="10800000" scaled="0"/>
        </a:gradFill>
        <a:ln w="19050">
          <a:noFill/>
          <a:miter lim="800000"/>
        </a:ln>
        <a:effectLst>
          <a:glow rad="76200">
            <a:schemeClr val="accent4">
              <a:lumMod val="20000"/>
              <a:lumOff val="80000"/>
              <a:alpha val="82000"/>
            </a:schemeClr>
          </a:glow>
          <a:outerShdw blurRad="152400" dist="38100" dir="8100000" algn="tr" rotWithShape="0">
            <a:schemeClr val="accent4">
              <a:lumMod val="40000"/>
              <a:lumOff val="6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539716</xdr:colOff>
      <xdr:row>3</xdr:row>
      <xdr:rowOff>15151</xdr:rowOff>
    </xdr:from>
    <xdr:to>
      <xdr:col>16</xdr:col>
      <xdr:colOff>304032</xdr:colOff>
      <xdr:row>4</xdr:row>
      <xdr:rowOff>15152</xdr:rowOff>
    </xdr:to>
    <xdr:sp macro="" textlink="">
      <xdr:nvSpPr>
        <xdr:cNvPr id="40" name="Flowchart: Extract 39">
          <a:extLst>
            <a:ext uri="{FF2B5EF4-FFF2-40B4-BE49-F238E27FC236}">
              <a16:creationId xmlns:a16="http://schemas.microsoft.com/office/drawing/2014/main" id="{E303DFAF-709D-4804-96C1-F7FEDD4E4D06}"/>
            </a:ext>
          </a:extLst>
        </xdr:cNvPr>
        <xdr:cNvSpPr/>
      </xdr:nvSpPr>
      <xdr:spPr>
        <a:xfrm>
          <a:off x="9650586" y="594934"/>
          <a:ext cx="371707" cy="193261"/>
        </a:xfrm>
        <a:prstGeom prst="flowChartExtra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92D050"/>
            </a:solidFill>
          </a:endParaRPr>
        </a:p>
      </xdr:txBody>
    </xdr:sp>
    <xdr:clientData/>
  </xdr:twoCellAnchor>
  <xdr:twoCellAnchor>
    <xdr:from>
      <xdr:col>26</xdr:col>
      <xdr:colOff>235348</xdr:colOff>
      <xdr:row>0</xdr:row>
      <xdr:rowOff>116158</xdr:rowOff>
    </xdr:from>
    <xdr:to>
      <xdr:col>30</xdr:col>
      <xdr:colOff>293427</xdr:colOff>
      <xdr:row>3</xdr:row>
      <xdr:rowOff>0</xdr:rowOff>
    </xdr:to>
    <xdr:sp macro="" textlink="">
      <xdr:nvSpPr>
        <xdr:cNvPr id="43" name="TextBox 42">
          <a:extLst>
            <a:ext uri="{FF2B5EF4-FFF2-40B4-BE49-F238E27FC236}">
              <a16:creationId xmlns:a16="http://schemas.microsoft.com/office/drawing/2014/main" id="{2E273253-C61A-4588-A13B-75A74B781F55}"/>
            </a:ext>
          </a:extLst>
        </xdr:cNvPr>
        <xdr:cNvSpPr txBox="1"/>
      </xdr:nvSpPr>
      <xdr:spPr>
        <a:xfrm>
          <a:off x="16027522" y="116158"/>
          <a:ext cx="2487644" cy="463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ambria" panose="02040503050406030204" pitchFamily="18" charset="0"/>
              <a:ea typeface="Cambria" panose="02040503050406030204" pitchFamily="18" charset="0"/>
            </a:rPr>
            <a:t>Discount</a:t>
          </a:r>
          <a:r>
            <a:rPr lang="en-US" sz="2000" b="1" baseline="0">
              <a:solidFill>
                <a:schemeClr val="tx1"/>
              </a:solidFill>
              <a:latin typeface="Cambria" panose="02040503050406030204" pitchFamily="18" charset="0"/>
              <a:ea typeface="Cambria" panose="02040503050406030204" pitchFamily="18" charset="0"/>
            </a:rPr>
            <a:t> Rate</a:t>
          </a:r>
          <a:endParaRPr lang="en-US" sz="20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26</xdr:col>
      <xdr:colOff>456049</xdr:colOff>
      <xdr:row>2</xdr:row>
      <xdr:rowOff>92925</xdr:rowOff>
    </xdr:from>
    <xdr:to>
      <xdr:col>29</xdr:col>
      <xdr:colOff>607055</xdr:colOff>
      <xdr:row>4</xdr:row>
      <xdr:rowOff>139388</xdr:rowOff>
    </xdr:to>
    <xdr:sp macro="" textlink="Sheet4!K19">
      <xdr:nvSpPr>
        <xdr:cNvPr id="44" name="TextBox 43">
          <a:extLst>
            <a:ext uri="{FF2B5EF4-FFF2-40B4-BE49-F238E27FC236}">
              <a16:creationId xmlns:a16="http://schemas.microsoft.com/office/drawing/2014/main" id="{847ACD49-0192-4D09-9F1B-FB59354EFC21}"/>
            </a:ext>
          </a:extLst>
        </xdr:cNvPr>
        <xdr:cNvSpPr txBox="1"/>
      </xdr:nvSpPr>
      <xdr:spPr>
        <a:xfrm>
          <a:off x="16248223" y="479447"/>
          <a:ext cx="1973180" cy="432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6F94A8-23BE-4AC8-A19D-22D34AFB30E6}" type="TxLink">
            <a:rPr lang="en-US" sz="2000" b="1" i="0" u="none" strike="noStrike">
              <a:solidFill>
                <a:srgbClr val="FFC305"/>
              </a:solidFill>
              <a:latin typeface="Cambria" panose="02040503050406030204" pitchFamily="18" charset="0"/>
              <a:ea typeface="Cambria" panose="02040503050406030204" pitchFamily="18" charset="0"/>
              <a:cs typeface="Calibri"/>
            </a:rPr>
            <a:pPr algn="ctr"/>
            <a:t>15%</a:t>
          </a:fld>
          <a:endParaRPr lang="en-US" sz="2000" b="1">
            <a:solidFill>
              <a:srgbClr val="FFC305"/>
            </a:solidFill>
            <a:latin typeface="Cambria" panose="02040503050406030204" pitchFamily="18" charset="0"/>
            <a:ea typeface="Cambria" panose="02040503050406030204" pitchFamily="18" charset="0"/>
          </a:endParaRPr>
        </a:p>
      </xdr:txBody>
    </xdr:sp>
    <xdr:clientData/>
  </xdr:twoCellAnchor>
  <xdr:twoCellAnchor>
    <xdr:from>
      <xdr:col>26</xdr:col>
      <xdr:colOff>548975</xdr:colOff>
      <xdr:row>4</xdr:row>
      <xdr:rowOff>139391</xdr:rowOff>
    </xdr:from>
    <xdr:to>
      <xdr:col>27</xdr:col>
      <xdr:colOff>281811</xdr:colOff>
      <xdr:row>5</xdr:row>
      <xdr:rowOff>151006</xdr:rowOff>
    </xdr:to>
    <xdr:sp macro="" textlink="">
      <xdr:nvSpPr>
        <xdr:cNvPr id="45" name="Flowchart: Extract 44">
          <a:extLst>
            <a:ext uri="{FF2B5EF4-FFF2-40B4-BE49-F238E27FC236}">
              <a16:creationId xmlns:a16="http://schemas.microsoft.com/office/drawing/2014/main" id="{AC72F325-7C41-49D9-808D-FD848E292725}"/>
            </a:ext>
          </a:extLst>
        </xdr:cNvPr>
        <xdr:cNvSpPr/>
      </xdr:nvSpPr>
      <xdr:spPr>
        <a:xfrm>
          <a:off x="16341149" y="912434"/>
          <a:ext cx="340227" cy="204876"/>
        </a:xfrm>
        <a:prstGeom prst="flowChartExtra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246965</xdr:colOff>
      <xdr:row>4</xdr:row>
      <xdr:rowOff>81309</xdr:rowOff>
    </xdr:from>
    <xdr:to>
      <xdr:col>29</xdr:col>
      <xdr:colOff>188886</xdr:colOff>
      <xdr:row>6</xdr:row>
      <xdr:rowOff>127774</xdr:rowOff>
    </xdr:to>
    <xdr:sp macro="" textlink="">
      <xdr:nvSpPr>
        <xdr:cNvPr id="46" name="TextBox 45">
          <a:extLst>
            <a:ext uri="{FF2B5EF4-FFF2-40B4-BE49-F238E27FC236}">
              <a16:creationId xmlns:a16="http://schemas.microsoft.com/office/drawing/2014/main" id="{541E5E9C-50E2-4B2E-B4AF-B5CF97B7E9A9}"/>
            </a:ext>
          </a:extLst>
        </xdr:cNvPr>
        <xdr:cNvSpPr txBox="1"/>
      </xdr:nvSpPr>
      <xdr:spPr>
        <a:xfrm>
          <a:off x="16646530" y="854352"/>
          <a:ext cx="1156704" cy="43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C000"/>
              </a:solidFill>
              <a:latin typeface="Cambria" panose="02040503050406030204" pitchFamily="18" charset="0"/>
              <a:ea typeface="Cambria" panose="02040503050406030204" pitchFamily="18" charset="0"/>
            </a:rPr>
            <a:t>+1%</a:t>
          </a:r>
          <a:r>
            <a:rPr lang="en-US" sz="1800" b="1" baseline="0">
              <a:solidFill>
                <a:srgbClr val="FFC000"/>
              </a:solidFill>
              <a:latin typeface="Cambria" panose="02040503050406030204" pitchFamily="18" charset="0"/>
              <a:ea typeface="Cambria" panose="02040503050406030204" pitchFamily="18" charset="0"/>
            </a:rPr>
            <a:t> </a:t>
          </a:r>
          <a:r>
            <a:rPr lang="en-US" sz="1800" b="1">
              <a:solidFill>
                <a:srgbClr val="FFC000"/>
              </a:solidFill>
              <a:latin typeface="Cambria" panose="02040503050406030204" pitchFamily="18" charset="0"/>
              <a:ea typeface="Cambria" panose="02040503050406030204" pitchFamily="18" charset="0"/>
            </a:rPr>
            <a:t>YoY</a:t>
          </a:r>
        </a:p>
      </xdr:txBody>
    </xdr:sp>
    <xdr:clientData/>
  </xdr:twoCellAnchor>
  <xdr:twoCellAnchor>
    <xdr:from>
      <xdr:col>25</xdr:col>
      <xdr:colOff>258579</xdr:colOff>
      <xdr:row>7</xdr:row>
      <xdr:rowOff>92926</xdr:rowOff>
    </xdr:from>
    <xdr:to>
      <xdr:col>31</xdr:col>
      <xdr:colOff>177268</xdr:colOff>
      <xdr:row>12</xdr:row>
      <xdr:rowOff>116157</xdr:rowOff>
    </xdr:to>
    <xdr:sp macro="" textlink="">
      <xdr:nvSpPr>
        <xdr:cNvPr id="47" name="TextBox 46">
          <a:extLst>
            <a:ext uri="{FF2B5EF4-FFF2-40B4-BE49-F238E27FC236}">
              <a16:creationId xmlns:a16="http://schemas.microsoft.com/office/drawing/2014/main" id="{E4618044-DA04-4075-A66D-48A862582BD0}"/>
            </a:ext>
          </a:extLst>
        </xdr:cNvPr>
        <xdr:cNvSpPr txBox="1"/>
      </xdr:nvSpPr>
      <xdr:spPr>
        <a:xfrm>
          <a:off x="15443362" y="1445752"/>
          <a:ext cx="3563036" cy="98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Cambria" panose="02040503050406030204" pitchFamily="18" charset="0"/>
              <a:ea typeface="Cambria" panose="02040503050406030204" pitchFamily="18" charset="0"/>
            </a:rPr>
            <a:t>Revenue grew 23% in 2024 — but discount rate increased by 1% driving margin down by 1%. Growth is being bought through heavier discounting rather than organic demand</a:t>
          </a:r>
        </a:p>
      </xdr:txBody>
    </xdr:sp>
    <xdr:clientData/>
  </xdr:twoCellAnchor>
  <xdr:twoCellAnchor editAs="oneCell">
    <xdr:from>
      <xdr:col>27</xdr:col>
      <xdr:colOff>61851</xdr:colOff>
      <xdr:row>15</xdr:row>
      <xdr:rowOff>121210</xdr:rowOff>
    </xdr:from>
    <xdr:to>
      <xdr:col>31</xdr:col>
      <xdr:colOff>455544</xdr:colOff>
      <xdr:row>19</xdr:row>
      <xdr:rowOff>86361</xdr:rowOff>
    </xdr:to>
    <mc:AlternateContent xmlns:mc="http://schemas.openxmlformats.org/markup-compatibility/2006">
      <mc:Choice xmlns:a14="http://schemas.microsoft.com/office/drawing/2010/main" Requires="a14">
        <xdr:graphicFrame macro="">
          <xdr:nvGraphicFramePr>
            <xdr:cNvPr id="48" name="date (Year)">
              <a:extLst>
                <a:ext uri="{FF2B5EF4-FFF2-40B4-BE49-F238E27FC236}">
                  <a16:creationId xmlns:a16="http://schemas.microsoft.com/office/drawing/2014/main" id="{FA62EB8A-57EE-4BDD-8A1E-B73753C54F5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6547428" y="3051979"/>
              <a:ext cx="2836001" cy="746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82827</xdr:colOff>
      <xdr:row>25</xdr:row>
      <xdr:rowOff>22390</xdr:rowOff>
    </xdr:from>
    <xdr:to>
      <xdr:col>31</xdr:col>
      <xdr:colOff>552174</xdr:colOff>
      <xdr:row>30</xdr:row>
      <xdr:rowOff>53030</xdr:rowOff>
    </xdr:to>
    <mc:AlternateContent xmlns:mc="http://schemas.openxmlformats.org/markup-compatibility/2006">
      <mc:Choice xmlns:a14="http://schemas.microsoft.com/office/drawing/2010/main" Requires="a14">
        <xdr:graphicFrame macro="">
          <xdr:nvGraphicFramePr>
            <xdr:cNvPr id="49" name="region">
              <a:extLst>
                <a:ext uri="{FF2B5EF4-FFF2-40B4-BE49-F238E27FC236}">
                  <a16:creationId xmlns:a16="http://schemas.microsoft.com/office/drawing/2014/main" id="{52AC8667-D9C4-483D-8D1F-6DC80DA191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568404" y="4907005"/>
              <a:ext cx="2911655" cy="1007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69021</xdr:colOff>
      <xdr:row>19</xdr:row>
      <xdr:rowOff>124911</xdr:rowOff>
    </xdr:from>
    <xdr:to>
      <xdr:col>31</xdr:col>
      <xdr:colOff>483151</xdr:colOff>
      <xdr:row>24</xdr:row>
      <xdr:rowOff>148142</xdr:rowOff>
    </xdr:to>
    <mc:AlternateContent xmlns:mc="http://schemas.openxmlformats.org/markup-compatibility/2006">
      <mc:Choice xmlns:a14="http://schemas.microsoft.com/office/drawing/2010/main" Requires="a14">
        <xdr:graphicFrame macro="">
          <xdr:nvGraphicFramePr>
            <xdr:cNvPr id="50" name="loyalty_status">
              <a:extLst>
                <a:ext uri="{FF2B5EF4-FFF2-40B4-BE49-F238E27FC236}">
                  <a16:creationId xmlns:a16="http://schemas.microsoft.com/office/drawing/2014/main" id="{B5DBC643-9696-4379-B740-6C511F534DC0}"/>
                </a:ext>
              </a:extLst>
            </xdr:cNvPr>
            <xdr:cNvGraphicFramePr/>
          </xdr:nvGraphicFramePr>
          <xdr:xfrm>
            <a:off x="0" y="0"/>
            <a:ext cx="0" cy="0"/>
          </xdr:xfrm>
          <a:graphic>
            <a:graphicData uri="http://schemas.microsoft.com/office/drawing/2010/slicer">
              <sle:slicer xmlns:sle="http://schemas.microsoft.com/office/drawing/2010/slicer" name="loyalty_status"/>
            </a:graphicData>
          </a:graphic>
        </xdr:graphicFrame>
      </mc:Choice>
      <mc:Fallback>
        <xdr:sp macro="" textlink="">
          <xdr:nvSpPr>
            <xdr:cNvPr id="0" name=""/>
            <xdr:cNvSpPr>
              <a:spLocks noTextEdit="1"/>
            </xdr:cNvSpPr>
          </xdr:nvSpPr>
          <xdr:spPr>
            <a:xfrm>
              <a:off x="16554598" y="3837219"/>
              <a:ext cx="2856438" cy="1000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124238</xdr:colOff>
      <xdr:row>35</xdr:row>
      <xdr:rowOff>69022</xdr:rowOff>
    </xdr:from>
    <xdr:to>
      <xdr:col>31</xdr:col>
      <xdr:colOff>165651</xdr:colOff>
      <xdr:row>42</xdr:row>
      <xdr:rowOff>124238</xdr:rowOff>
    </xdr:to>
    <xdr:sp macro="" textlink="">
      <xdr:nvSpPr>
        <xdr:cNvPr id="4" name="TextBox 3">
          <a:extLst>
            <a:ext uri="{FF2B5EF4-FFF2-40B4-BE49-F238E27FC236}">
              <a16:creationId xmlns:a16="http://schemas.microsoft.com/office/drawing/2014/main" id="{130B64A3-6262-453A-9D0D-62B7447FB575}"/>
            </a:ext>
          </a:extLst>
        </xdr:cNvPr>
        <xdr:cNvSpPr txBox="1"/>
      </xdr:nvSpPr>
      <xdr:spPr>
        <a:xfrm>
          <a:off x="9842499" y="6833152"/>
          <a:ext cx="9152282" cy="14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rPr>
            <a:t>Where Do We Need Improvement?</a:t>
          </a:r>
          <a:endParaRPr lang="en-US" sz="1600">
            <a:latin typeface="+mj-lt"/>
          </a:endParaRPr>
        </a:p>
        <a:p>
          <a:r>
            <a:rPr lang="en-US" sz="1400">
              <a:latin typeface="+mj-lt"/>
            </a:rPr>
            <a:t>Profit margin declined 1% in 2024 despite 23% revenue growth — indicating growth is being driven by heavier discounting rather than organic demand. Capping discounts at 10% across all branches could recover lost margin without sacrificing customer volume. Bronze tier customers represent the largest customer segment but generate the lowest revenue per head — a structured loyalty progression programme could unlock significant untapped revenue.Recovering 1–2% margin through discount optimisation could add significant profit without sacrificing customer volume.</a:t>
          </a:r>
        </a:p>
        <a:p>
          <a:endParaRPr lang="en-US" sz="1200">
            <a:latin typeface="+mj-l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8.065100925924" backgroundQuery="1" createdVersion="7" refreshedVersion="7" minRefreshableVersion="3" recordCount="0" supportSubquery="1" supportAdvancedDrill="1" xr:uid="{506FC16D-404F-4914-8A01-DC56ED8AD51A}">
  <cacheSource type="external" connectionId="4"/>
  <cacheFields count="4">
    <cacheField name="[Measures].[Sum of total_amount 3]" caption="Sum of total_amount 3" numFmtId="0" hierarchy="34" level="32767"/>
    <cacheField name="[Sales__tbl].[date (Year)].[date (Year)]" caption="date (Year)" numFmtId="0" hierarchy="24" level="1">
      <sharedItems count="3">
        <s v="2023"/>
        <s v="2024"/>
        <s v="2025"/>
      </sharedItems>
    </cacheField>
    <cacheField name="[Measures].[Sum of profitperSales]" caption="Sum of profitperSales" numFmtId="0" hierarchy="39" level="32767"/>
    <cacheField name="[Measures].[Sum of Discount_amount]" caption="Sum of Discount_amount" numFmtId="0" hierarchy="48" level="32767"/>
  </cacheFields>
  <cacheHierarchies count="50">
    <cacheHierarchy uniqueName="[customer_tbl].[customer_id]" caption="customer_id" attribute="1" defaultMemberUniqueName="[customer_tbl].[customer_id].[All]" allUniqueName="[customer_tbl].[customer_id].[All]" dimensionUniqueName="[customer_tbl]" displayFolder="" count="0" memberValueDatatype="130" unbalanced="0"/>
    <cacheHierarchy uniqueName="[customer_tbl].[gender]" caption="gender" attribute="1" defaultMemberUniqueName="[customer_tbl].[gender].[All]" allUniqueName="[customer_tbl].[gender].[All]" dimensionUniqueName="[customer_tbl]" displayFolder="" count="0"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0"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cacheHierarchy uniqueName="[customer_tbl].[Branch_id]" caption="Branch_id" attribute="1" defaultMemberUniqueName="[customer_tbl].[Branch_id].[All]" allUniqueName="[customer_tbl].[Branch_id].[All]" dimensionUniqueName="[customer_tbl]" displayFolder="" count="2" memberValueDatatype="130" unbalanced="0"/>
    <cacheHierarchy uniqueName="[product_tbl].[product_id]" caption="product_id" attribute="1" defaultMemberUniqueName="[product_tbl].[product_id].[All]" allUniqueName="[product_tbl].[product_id].[All]" dimensionUniqueName="[product_tbl]" displayFolder="" count="0" memberValueDatatype="130" unbalanced="0"/>
    <cacheHierarchy uniqueName="[product_tbl].[category]" caption="category" attribute="1" defaultMemberUniqueName="[product_tbl].[category].[All]" allUniqueName="[product_tbl].[category].[All]" dimensionUniqueName="[product_tbl]" displayFolder="" count="0" memberValueDatatype="130" unbalanced="0"/>
    <cacheHierarchy uniqueName="[product_tbl].[cost_price]" caption="cost_price" attribute="1" defaultMemberUniqueName="[product_tbl].[cost_price].[All]" allUniqueName="[product_tbl].[cost_price].[All]" dimensionUniqueName="[product_tbl]" displayFolder="" count="0" memberValueDatatype="5" unbalanced="0"/>
    <cacheHierarchy uniqueName="[product_tbl].[selling_price]" caption="selling_price" attribute="1" defaultMemberUniqueName="[product_tbl].[selling_price].[All]" allUniqueName="[product_tbl].[selling_price].[All]" dimensionUniqueName="[product_tbl]" displayFolder="" count="0" memberValueDatatype="5" unbalanced="0"/>
    <cacheHierarchy uniqueName="[product_tbl].[profit_per_sale]" caption="profit_per_sale" attribute="1" defaultMemberUniqueName="[product_tbl].[profit_per_sale].[All]" allUniqueName="[product_tbl].[profit_per_sale].[All]" dimensionUniqueName="[product_tbl]" displayFolder="" count="0" memberValueDatatype="5" unbalanced="0"/>
    <cacheHierarchy uniqueName="[product_tbl].[product_key]" caption="product_key" attribute="1" defaultMemberUniqueName="[product_tbl].[product_key].[All]" allUniqueName="[product_tbl].[product_key].[All]" dimensionUniqueName="[product_tbl]" displayFolder="" count="0" memberValueDatatype="130" unbalanced="0"/>
    <cacheHierarchy uniqueName="[Sales__tbl].[sale_id]" caption="sale_id" attribute="1" defaultMemberUniqueName="[Sales__tbl].[sale_id].[All]" allUniqueName="[Sales__tbl].[sale_id].[All]" dimensionUniqueName="[Sales__tbl]" displayFolder="" count="0" memberValueDatatype="20" unbalanced="0"/>
    <cacheHierarchy uniqueName="[Sales__tbl].[Month]" caption="Month" attribute="1" defaultMemberUniqueName="[Sales__tbl].[Month].[All]" allUniqueName="[Sales__tbl].[Month].[All]" dimensionUniqueName="[Sales__tbl]" displayFolder="" count="0" memberValueDatatype="130" unbalanced="0"/>
    <cacheHierarchy uniqueName="[Sales__tbl].[date]" caption="date" attribute="1" time="1" defaultMemberUniqueName="[Sales__tbl].[date].[All]" allUniqueName="[Sales__tbl].[date].[All]" dimensionUniqueName="[Sales__tbl]" displayFolder="" count="0" memberValueDatatype="7" unbalanced="0"/>
    <cacheHierarchy uniqueName="[Sales__tbl].[branch_id]" caption="branch_id" attribute="1" defaultMemberUniqueName="[Sales__tbl].[branch_id].[All]" allUniqueName="[Sales__tbl].[branch_id].[All]" dimensionUniqueName="[Sales__tbl]" displayFolder="" count="0" memberValueDatatype="130" unbalanced="0"/>
    <cacheHierarchy uniqueName="[Sales__tbl].[customer_id]" caption="customer_id" attribute="1" defaultMemberUniqueName="[Sales__tbl].[customer_id].[All]" allUniqueName="[Sales__tbl].[customer_id].[All]" dimensionUniqueName="[Sales__tbl]" displayFolder="" count="0" memberValueDatatype="130" unbalanced="0"/>
    <cacheHierarchy uniqueName="[Sales__tbl].[product_id]" caption="product_id" attribute="1" defaultMemberUniqueName="[Sales__tbl].[product_id].[All]" allUniqueName="[Sales__tbl].[product_id].[All]" dimensionUniqueName="[Sales__tbl]" displayFolder="" count="0" memberValueDatatype="130" unbalanced="0"/>
    <cacheHierarchy uniqueName="[Sales__tbl].[Product_category]" caption="Product_category" attribute="1" defaultMemberUniqueName="[Sales__tbl].[Product_category].[All]" allUniqueName="[Sales__tbl].[Product_category].[All]" dimensionUniqueName="[Sales__tbl]" displayFolder="" count="0" memberValueDatatype="130" unbalanced="0"/>
    <cacheHierarchy uniqueName="[Sales__tbl].[quantity]" caption="quantity" attribute="1" defaultMemberUniqueName="[Sales__tbl].[quantity].[All]" allUniqueName="[Sales__tbl].[quantity].[All]" dimensionUniqueName="[Sales__tbl]" displayFolder="" count="0" memberValueDatatype="20" unbalanced="0"/>
    <cacheHierarchy uniqueName="[Sales__tbl].[selling_price]" caption="selling_price" attribute="1" defaultMemberUniqueName="[Sales__tbl].[selling_price].[All]" allUniqueName="[Sales__tbl].[selling_price].[All]" dimensionUniqueName="[Sales__tbl]" displayFolder="" count="0" memberValueDatatype="5" unbalanced="0"/>
    <cacheHierarchy uniqueName="[Sales__tbl].[discount]" caption="discount" attribute="1" defaultMemberUniqueName="[Sales__tbl].[discount].[All]" allUniqueName="[Sales__tbl].[discount].[All]" dimensionUniqueName="[Sales__tbl]" displayFolder="" count="0" memberValueDatatype="5" unbalanced="0"/>
    <cacheHierarchy uniqueName="[Sales__tbl].[Discount_amount]" caption="Discount_amount" attribute="1" defaultMemberUniqueName="[Sales__tbl].[Discount_amount].[All]" allUniqueName="[Sales__tbl].[Discount_amount].[All]" dimensionUniqueName="[Sales__tbl]" displayFolder="" count="0" memberValueDatatype="5" unbalanced="0"/>
    <cacheHierarchy uniqueName="[Sales__tbl].[total_amount]" caption="total_amount" attribute="1" defaultMemberUniqueName="[Sales__tbl].[total_amount].[All]" allUniqueName="[Sales__tbl].[total_amount].[All]" dimensionUniqueName="[Sales__tbl]" displayFolder="" count="0" memberValueDatatype="5" unbalanced="0"/>
    <cacheHierarchy uniqueName="[Sales__tbl].[date (Year)]" caption="date (Year)" attribute="1" defaultMemberUniqueName="[Sales__tbl].[date (Year)].[All]" allUniqueName="[Sales__tbl].[date (Year)].[All]" dimensionUniqueName="[Sales__tbl]" displayFolder="" count="2" memberValueDatatype="130" unbalanced="0">
      <fieldsUsage count="2">
        <fieldUsage x="-1"/>
        <fieldUsage x="1"/>
      </fieldsUsage>
    </cacheHierarchy>
    <cacheHierarchy uniqueName="[Sales__tbl].[date (Quarter)]" caption="date (Quarter)" attribute="1" defaultMemberUniqueName="[Sales__tbl].[date (Quarter)].[All]" allUniqueName="[Sales__tbl].[date (Quarter)].[All]" dimensionUniqueName="[Sales__tbl]" displayFolder="" count="0" memberValueDatatype="130" unbalanced="0"/>
    <cacheHierarchy uniqueName="[Sales__tbl].[date (Month)]" caption="date (Month)" attribute="1" defaultMemberUniqueName="[Sales__tbl].[date (Month)].[All]" allUniqueName="[Sales__tbl].[date (Month)].[All]" dimensionUniqueName="[Sales__tbl]" displayFolder="" count="0" memberValueDatatype="130" unbalanced="0"/>
    <cacheHierarchy uniqueName="[Sales__tbl].[profitperSales]" caption="profitperSales" attribute="1" defaultMemberUniqueName="[Sales__tbl].[profitperSales].[All]" allUniqueName="[Sales__tbl].[profitperSales].[All]" dimensionUniqueName="[Sales__tbl]" displayFolder="" count="0" memberValueDatatype="5" unbalanced="0"/>
    <cacheHierarchy uniqueName="[Sales__tbl].[product_key]" caption="product_key" attribute="1" defaultMemberUniqueName="[Sales__tbl].[product_key].[All]" allUniqueName="[Sales__tbl].[product_key].[All]" dimensionUniqueName="[Sales__tbl]" displayFolder="" count="0" memberValueDatatype="130" unbalanced="0"/>
    <cacheHierarchy uniqueName="[Sales__tbl].[date (Month Index)]" caption="date (Month Index)" attribute="1" defaultMemberUniqueName="[Sales__tbl].[date (Month Index)].[All]" allUniqueName="[Sales__tbl].[date (Month Index)].[All]" dimensionUniqueName="[Sales__tbl]" displayFolder="" count="0"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19"/>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19"/>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oneField="1" hidden="1">
      <fieldsUsage count="1">
        <fieldUsage x="2"/>
      </fieldsUsage>
      <extLst>
        <ext xmlns:x15="http://schemas.microsoft.com/office/spreadsheetml/2010/11/main" uri="{B97F6D7D-B522-45F9-BDA1-12C45D357490}">
          <x15:cacheHierarchy aggregatedColumn="27"/>
        </ext>
      </extLst>
    </cacheHierarchy>
    <cacheHierarchy uniqueName="[Measures].[Average of total_amount]" caption="Average of total_amount" measure="1" displayFolder="" measureGroup="Sales__tbl" count="0" hidden="1">
      <extLst>
        <ext xmlns:x15="http://schemas.microsoft.com/office/spreadsheetml/2010/11/main" uri="{B97F6D7D-B522-45F9-BDA1-12C45D357490}">
          <x15:cacheHierarchy aggregatedColumn="23"/>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3"/>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1"/>
        </ext>
      </extLst>
    </cacheHierarchy>
    <cacheHierarchy uniqueName="[Measures].[Sum of Discount_amount]" caption="Sum of Discount_amount" measure="1" displayFolder="" measureGroup="Sales__tbl"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customer_id 2]" caption="Count of customer_id 2" measure="1" displayFolder="" measureGroup="Sales__tbl" count="0" hidden="1">
      <extLst>
        <ext xmlns:x15="http://schemas.microsoft.com/office/spreadsheetml/2010/11/main" uri="{B97F6D7D-B522-45F9-BDA1-12C45D357490}">
          <x15:cacheHierarchy aggregatedColumn="16"/>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8.082626041665" backgroundQuery="1" createdVersion="7" refreshedVersion="7" minRefreshableVersion="3" recordCount="0" supportSubquery="1" supportAdvancedDrill="1" xr:uid="{3694E33F-97AF-4DC1-AEBC-73632048F600}">
  <cacheSource type="external" connectionId="4"/>
  <cacheFields count="3">
    <cacheField name="[Sales__tbl].[Product_category].[Product_category]" caption="Product_category" numFmtId="0" hierarchy="18" level="1">
      <sharedItems count="12">
        <s v="Beauty"/>
        <s v="Clothing"/>
        <s v="Electronics"/>
        <s v="Games"/>
        <s v="Groceries"/>
        <s v="Home"/>
        <s v="Jewelry"/>
        <s v="Phones"/>
        <s v="Shoes"/>
        <s v="Sports"/>
        <s v="Toys"/>
        <s v="Women's Fashion"/>
      </sharedItems>
    </cacheField>
    <cacheField name="[Measures].[Sum of total_amount 3]" caption="Sum of total_amount 3" numFmtId="0" hierarchy="34" level="32767"/>
    <cacheField name="[Sales__tbl].[date (Year)].[date (Year)]" caption="date (Year)" numFmtId="0" hierarchy="24" level="1">
      <sharedItems containsSemiMixedTypes="0" containsNonDate="0" containsString="0"/>
    </cacheField>
  </cacheFields>
  <cacheHierarchies count="50">
    <cacheHierarchy uniqueName="[customer_tbl].[customer_id]" caption="customer_id" attribute="1" defaultMemberUniqueName="[customer_tbl].[customer_id].[All]" allUniqueName="[customer_tbl].[customer_id].[All]" dimensionUniqueName="[customer_tbl]" displayFolder="" count="0" memberValueDatatype="130" unbalanced="0"/>
    <cacheHierarchy uniqueName="[customer_tbl].[gender]" caption="gender" attribute="1" defaultMemberUniqueName="[customer_tbl].[gender].[All]" allUniqueName="[customer_tbl].[gender].[All]" dimensionUniqueName="[customer_tbl]" displayFolder="" count="0"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0"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cacheHierarchy uniqueName="[customer_tbl].[Branch_id]" caption="Branch_id" attribute="1" defaultMemberUniqueName="[customer_tbl].[Branch_id].[All]" allUniqueName="[customer_tbl].[Branch_id].[All]" dimensionUniqueName="[customer_tbl]" displayFolder="" count="0" memberValueDatatype="130" unbalanced="0"/>
    <cacheHierarchy uniqueName="[product_tbl].[product_id]" caption="product_id" attribute="1" defaultMemberUniqueName="[product_tbl].[product_id].[All]" allUniqueName="[product_tbl].[product_id].[All]" dimensionUniqueName="[product_tbl]" displayFolder="" count="0" memberValueDatatype="130" unbalanced="0"/>
    <cacheHierarchy uniqueName="[product_tbl].[category]" caption="category" attribute="1" defaultMemberUniqueName="[product_tbl].[category].[All]" allUniqueName="[product_tbl].[category].[All]" dimensionUniqueName="[product_tbl]" displayFolder="" count="0" memberValueDatatype="130" unbalanced="0"/>
    <cacheHierarchy uniqueName="[product_tbl].[cost_price]" caption="cost_price" attribute="1" defaultMemberUniqueName="[product_tbl].[cost_price].[All]" allUniqueName="[product_tbl].[cost_price].[All]" dimensionUniqueName="[product_tbl]" displayFolder="" count="0" memberValueDatatype="5" unbalanced="0"/>
    <cacheHierarchy uniqueName="[product_tbl].[selling_price]" caption="selling_price" attribute="1" defaultMemberUniqueName="[product_tbl].[selling_price].[All]" allUniqueName="[product_tbl].[selling_price].[All]" dimensionUniqueName="[product_tbl]" displayFolder="" count="0" memberValueDatatype="5" unbalanced="0"/>
    <cacheHierarchy uniqueName="[product_tbl].[profit_per_sale]" caption="profit_per_sale" attribute="1" defaultMemberUniqueName="[product_tbl].[profit_per_sale].[All]" allUniqueName="[product_tbl].[profit_per_sale].[All]" dimensionUniqueName="[product_tbl]" displayFolder="" count="0" memberValueDatatype="5" unbalanced="0"/>
    <cacheHierarchy uniqueName="[product_tbl].[product_key]" caption="product_key" attribute="1" defaultMemberUniqueName="[product_tbl].[product_key].[All]" allUniqueName="[product_tbl].[product_key].[All]" dimensionUniqueName="[product_tbl]" displayFolder="" count="0" memberValueDatatype="130" unbalanced="0"/>
    <cacheHierarchy uniqueName="[Sales__tbl].[sale_id]" caption="sale_id" attribute="1" defaultMemberUniqueName="[Sales__tbl].[sale_id].[All]" allUniqueName="[Sales__tbl].[sale_id].[All]" dimensionUniqueName="[Sales__tbl]" displayFolder="" count="0" memberValueDatatype="20" unbalanced="0"/>
    <cacheHierarchy uniqueName="[Sales__tbl].[Month]" caption="Month" attribute="1" defaultMemberUniqueName="[Sales__tbl].[Month].[All]" allUniqueName="[Sales__tbl].[Month].[All]" dimensionUniqueName="[Sales__tbl]" displayFolder="" count="0" memberValueDatatype="130" unbalanced="0"/>
    <cacheHierarchy uniqueName="[Sales__tbl].[date]" caption="date" attribute="1" time="1" defaultMemberUniqueName="[Sales__tbl].[date].[All]" allUniqueName="[Sales__tbl].[date].[All]" dimensionUniqueName="[Sales__tbl]" displayFolder="" count="0" memberValueDatatype="7" unbalanced="0"/>
    <cacheHierarchy uniqueName="[Sales__tbl].[branch_id]" caption="branch_id" attribute="1" defaultMemberUniqueName="[Sales__tbl].[branch_id].[All]" allUniqueName="[Sales__tbl].[branch_id].[All]" dimensionUniqueName="[Sales__tbl]" displayFolder="" count="0" memberValueDatatype="130" unbalanced="0"/>
    <cacheHierarchy uniqueName="[Sales__tbl].[customer_id]" caption="customer_id" attribute="1" defaultMemberUniqueName="[Sales__tbl].[customer_id].[All]" allUniqueName="[Sales__tbl].[customer_id].[All]" dimensionUniqueName="[Sales__tbl]" displayFolder="" count="0" memberValueDatatype="130" unbalanced="0"/>
    <cacheHierarchy uniqueName="[Sales__tbl].[product_id]" caption="product_id" attribute="1" defaultMemberUniqueName="[Sales__tbl].[product_id].[All]" allUniqueName="[Sales__tbl].[product_id].[All]" dimensionUniqueName="[Sales__tbl]" displayFolder="" count="0" memberValueDatatype="130" unbalanced="0"/>
    <cacheHierarchy uniqueName="[Sales__tbl].[Product_category]" caption="Product_category" attribute="1" defaultMemberUniqueName="[Sales__tbl].[Product_category].[All]" allUniqueName="[Sales__tbl].[Product_category].[All]" dimensionUniqueName="[Sales__tbl]" displayFolder="" count="2" memberValueDatatype="130" unbalanced="0">
      <fieldsUsage count="2">
        <fieldUsage x="-1"/>
        <fieldUsage x="0"/>
      </fieldsUsage>
    </cacheHierarchy>
    <cacheHierarchy uniqueName="[Sales__tbl].[quantity]" caption="quantity" attribute="1" defaultMemberUniqueName="[Sales__tbl].[quantity].[All]" allUniqueName="[Sales__tbl].[quantity].[All]" dimensionUniqueName="[Sales__tbl]" displayFolder="" count="0" memberValueDatatype="20" unbalanced="0"/>
    <cacheHierarchy uniqueName="[Sales__tbl].[selling_price]" caption="selling_price" attribute="1" defaultMemberUniqueName="[Sales__tbl].[selling_price].[All]" allUniqueName="[Sales__tbl].[selling_price].[All]" dimensionUniqueName="[Sales__tbl]" displayFolder="" count="0" memberValueDatatype="5" unbalanced="0"/>
    <cacheHierarchy uniqueName="[Sales__tbl].[discount]" caption="discount" attribute="1" defaultMemberUniqueName="[Sales__tbl].[discount].[All]" allUniqueName="[Sales__tbl].[discount].[All]" dimensionUniqueName="[Sales__tbl]" displayFolder="" count="0" memberValueDatatype="5" unbalanced="0"/>
    <cacheHierarchy uniqueName="[Sales__tbl].[Discount_amount]" caption="Discount_amount" attribute="1" defaultMemberUniqueName="[Sales__tbl].[Discount_amount].[All]" allUniqueName="[Sales__tbl].[Discount_amount].[All]" dimensionUniqueName="[Sales__tbl]" displayFolder="" count="0" memberValueDatatype="5" unbalanced="0"/>
    <cacheHierarchy uniqueName="[Sales__tbl].[total_amount]" caption="total_amount" attribute="1" defaultMemberUniqueName="[Sales__tbl].[total_amount].[All]" allUniqueName="[Sales__tbl].[total_amount].[All]" dimensionUniqueName="[Sales__tbl]" displayFolder="" count="0" memberValueDatatype="5" unbalanced="0"/>
    <cacheHierarchy uniqueName="[Sales__tbl].[date (Year)]" caption="date (Year)" attribute="1" defaultMemberUniqueName="[Sales__tbl].[date (Year)].[All]" allUniqueName="[Sales__tbl].[date (Year)].[All]" dimensionUniqueName="[Sales__tbl]" displayFolder="" count="2" memberValueDatatype="130" unbalanced="0">
      <fieldsUsage count="2">
        <fieldUsage x="-1"/>
        <fieldUsage x="2"/>
      </fieldsUsage>
    </cacheHierarchy>
    <cacheHierarchy uniqueName="[Sales__tbl].[date (Quarter)]" caption="date (Quarter)" attribute="1" defaultMemberUniqueName="[Sales__tbl].[date (Quarter)].[All]" allUniqueName="[Sales__tbl].[date (Quarter)].[All]" dimensionUniqueName="[Sales__tbl]" displayFolder="" count="0" memberValueDatatype="130" unbalanced="0"/>
    <cacheHierarchy uniqueName="[Sales__tbl].[date (Month)]" caption="date (Month)" attribute="1" defaultMemberUniqueName="[Sales__tbl].[date (Month)].[All]" allUniqueName="[Sales__tbl].[date (Month)].[All]" dimensionUniqueName="[Sales__tbl]" displayFolder="" count="0" memberValueDatatype="130" unbalanced="0"/>
    <cacheHierarchy uniqueName="[Sales__tbl].[profitperSales]" caption="profitperSales" attribute="1" defaultMemberUniqueName="[Sales__tbl].[profitperSales].[All]" allUniqueName="[Sales__tbl].[profitperSales].[All]" dimensionUniqueName="[Sales__tbl]" displayFolder="" count="0" memberValueDatatype="5" unbalanced="0"/>
    <cacheHierarchy uniqueName="[Sales__tbl].[product_key]" caption="product_key" attribute="1" defaultMemberUniqueName="[Sales__tbl].[product_key].[All]" allUniqueName="[Sales__tbl].[product_key].[All]" dimensionUniqueName="[Sales__tbl]" displayFolder="" count="0" memberValueDatatype="130" unbalanced="0"/>
    <cacheHierarchy uniqueName="[Sales__tbl].[date (Month Index)]" caption="date (Month Index)" attribute="1" defaultMemberUniqueName="[Sales__tbl].[date (Month Index)].[All]" allUniqueName="[Sales__tbl].[date (Month Index)].[All]" dimensionUniqueName="[Sales__tbl]" displayFolder="" count="0"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19"/>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19"/>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hidden="1">
      <extLst>
        <ext xmlns:x15="http://schemas.microsoft.com/office/spreadsheetml/2010/11/main" uri="{B97F6D7D-B522-45F9-BDA1-12C45D357490}">
          <x15:cacheHierarchy aggregatedColumn="27"/>
        </ext>
      </extLst>
    </cacheHierarchy>
    <cacheHierarchy uniqueName="[Measures].[Average of total_amount]" caption="Average of total_amount" measure="1" displayFolder="" measureGroup="Sales__tbl" count="0" hidden="1">
      <extLst>
        <ext xmlns:x15="http://schemas.microsoft.com/office/spreadsheetml/2010/11/main" uri="{B97F6D7D-B522-45F9-BDA1-12C45D357490}">
          <x15:cacheHierarchy aggregatedColumn="23"/>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3"/>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1"/>
        </ext>
      </extLst>
    </cacheHierarchy>
    <cacheHierarchy uniqueName="[Measures].[Sum of Discount_amount]" caption="Sum of Discount_amount" measure="1" displayFolder="" measureGroup="Sales__tbl" count="0" hidden="1">
      <extLst>
        <ext xmlns:x15="http://schemas.microsoft.com/office/spreadsheetml/2010/11/main" uri="{B97F6D7D-B522-45F9-BDA1-12C45D357490}">
          <x15:cacheHierarchy aggregatedColumn="22"/>
        </ext>
      </extLst>
    </cacheHierarchy>
    <cacheHierarchy uniqueName="[Measures].[Count of customer_id 2]" caption="Count of customer_id 2" measure="1" displayFolder="" measureGroup="Sales__tbl" count="0" hidden="1">
      <extLst>
        <ext xmlns:x15="http://schemas.microsoft.com/office/spreadsheetml/2010/11/main" uri="{B97F6D7D-B522-45F9-BDA1-12C45D357490}">
          <x15:cacheHierarchy aggregatedColumn="16"/>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8.082626504627" backgroundQuery="1" createdVersion="7" refreshedVersion="7" minRefreshableVersion="3" recordCount="0" supportSubquery="1" supportAdvancedDrill="1" xr:uid="{8081DD68-37A1-4F7F-9378-19ED4326CE45}">
  <cacheSource type="external" connectionId="4"/>
  <cacheFields count="3">
    <cacheField name="[Sales__tbl].[date (Month)].[date (Month)]" caption="date (Month)" numFmtId="0" hierarchy="26" level="1">
      <sharedItems count="12">
        <s v="Jan"/>
        <s v="Feb"/>
        <s v="Mar"/>
        <s v="Apr"/>
        <s v="May"/>
        <s v="Jun"/>
        <s v="Jul"/>
        <s v="Aug"/>
        <s v="Sep"/>
        <s v="Oct"/>
        <s v="Nov"/>
        <s v="Dec"/>
      </sharedItems>
    </cacheField>
    <cacheField name="[Measures].[Average of total_amount]" caption="Average of total_amount" numFmtId="0" hierarchy="40" level="32767"/>
    <cacheField name="[Sales__tbl].[date (Year)].[date (Year)]" caption="date (Year)" numFmtId="0" hierarchy="24" level="1">
      <sharedItems containsSemiMixedTypes="0" containsNonDate="0" containsString="0"/>
    </cacheField>
  </cacheFields>
  <cacheHierarchies count="50">
    <cacheHierarchy uniqueName="[customer_tbl].[customer_id]" caption="customer_id" attribute="1" defaultMemberUniqueName="[customer_tbl].[customer_id].[All]" allUniqueName="[customer_tbl].[customer_id].[All]" dimensionUniqueName="[customer_tbl]" displayFolder="" count="0" memberValueDatatype="130" unbalanced="0"/>
    <cacheHierarchy uniqueName="[customer_tbl].[gender]" caption="gender" attribute="1" defaultMemberUniqueName="[customer_tbl].[gender].[All]" allUniqueName="[customer_tbl].[gender].[All]" dimensionUniqueName="[customer_tbl]" displayFolder="" count="0"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0"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cacheHierarchy uniqueName="[customer_tbl].[Branch_id]" caption="Branch_id" attribute="1" defaultMemberUniqueName="[customer_tbl].[Branch_id].[All]" allUniqueName="[customer_tbl].[Branch_id].[All]" dimensionUniqueName="[customer_tbl]" displayFolder="" count="0" memberValueDatatype="130" unbalanced="0"/>
    <cacheHierarchy uniqueName="[product_tbl].[product_id]" caption="product_id" attribute="1" defaultMemberUniqueName="[product_tbl].[product_id].[All]" allUniqueName="[product_tbl].[product_id].[All]" dimensionUniqueName="[product_tbl]" displayFolder="" count="0" memberValueDatatype="130" unbalanced="0"/>
    <cacheHierarchy uniqueName="[product_tbl].[category]" caption="category" attribute="1" defaultMemberUniqueName="[product_tbl].[category].[All]" allUniqueName="[product_tbl].[category].[All]" dimensionUniqueName="[product_tbl]" displayFolder="" count="0" memberValueDatatype="130" unbalanced="0"/>
    <cacheHierarchy uniqueName="[product_tbl].[cost_price]" caption="cost_price" attribute="1" defaultMemberUniqueName="[product_tbl].[cost_price].[All]" allUniqueName="[product_tbl].[cost_price].[All]" dimensionUniqueName="[product_tbl]" displayFolder="" count="0" memberValueDatatype="5" unbalanced="0"/>
    <cacheHierarchy uniqueName="[product_tbl].[selling_price]" caption="selling_price" attribute="1" defaultMemberUniqueName="[product_tbl].[selling_price].[All]" allUniqueName="[product_tbl].[selling_price].[All]" dimensionUniqueName="[product_tbl]" displayFolder="" count="0" memberValueDatatype="5" unbalanced="0"/>
    <cacheHierarchy uniqueName="[product_tbl].[profit_per_sale]" caption="profit_per_sale" attribute="1" defaultMemberUniqueName="[product_tbl].[profit_per_sale].[All]" allUniqueName="[product_tbl].[profit_per_sale].[All]" dimensionUniqueName="[product_tbl]" displayFolder="" count="0" memberValueDatatype="5" unbalanced="0"/>
    <cacheHierarchy uniqueName="[product_tbl].[product_key]" caption="product_key" attribute="1" defaultMemberUniqueName="[product_tbl].[product_key].[All]" allUniqueName="[product_tbl].[product_key].[All]" dimensionUniqueName="[product_tbl]" displayFolder="" count="0" memberValueDatatype="130" unbalanced="0"/>
    <cacheHierarchy uniqueName="[Sales__tbl].[sale_id]" caption="sale_id" attribute="1" defaultMemberUniqueName="[Sales__tbl].[sale_id].[All]" allUniqueName="[Sales__tbl].[sale_id].[All]" dimensionUniqueName="[Sales__tbl]" displayFolder="" count="0" memberValueDatatype="20" unbalanced="0"/>
    <cacheHierarchy uniqueName="[Sales__tbl].[Month]" caption="Month" attribute="1" defaultMemberUniqueName="[Sales__tbl].[Month].[All]" allUniqueName="[Sales__tbl].[Month].[All]" dimensionUniqueName="[Sales__tbl]" displayFolder="" count="0" memberValueDatatype="130" unbalanced="0"/>
    <cacheHierarchy uniqueName="[Sales__tbl].[date]" caption="date" attribute="1" time="1" defaultMemberUniqueName="[Sales__tbl].[date].[All]" allUniqueName="[Sales__tbl].[date].[All]" dimensionUniqueName="[Sales__tbl]" displayFolder="" count="0" memberValueDatatype="7" unbalanced="0"/>
    <cacheHierarchy uniqueName="[Sales__tbl].[branch_id]" caption="branch_id" attribute="1" defaultMemberUniqueName="[Sales__tbl].[branch_id].[All]" allUniqueName="[Sales__tbl].[branch_id].[All]" dimensionUniqueName="[Sales__tbl]" displayFolder="" count="0" memberValueDatatype="130" unbalanced="0"/>
    <cacheHierarchy uniqueName="[Sales__tbl].[customer_id]" caption="customer_id" attribute="1" defaultMemberUniqueName="[Sales__tbl].[customer_id].[All]" allUniqueName="[Sales__tbl].[customer_id].[All]" dimensionUniqueName="[Sales__tbl]" displayFolder="" count="0" memberValueDatatype="130" unbalanced="0"/>
    <cacheHierarchy uniqueName="[Sales__tbl].[product_id]" caption="product_id" attribute="1" defaultMemberUniqueName="[Sales__tbl].[product_id].[All]" allUniqueName="[Sales__tbl].[product_id].[All]" dimensionUniqueName="[Sales__tbl]" displayFolder="" count="0" memberValueDatatype="130" unbalanced="0"/>
    <cacheHierarchy uniqueName="[Sales__tbl].[Product_category]" caption="Product_category" attribute="1" defaultMemberUniqueName="[Sales__tbl].[Product_category].[All]" allUniqueName="[Sales__tbl].[Product_category].[All]" dimensionUniqueName="[Sales__tbl]" displayFolder="" count="0" memberValueDatatype="130" unbalanced="0"/>
    <cacheHierarchy uniqueName="[Sales__tbl].[quantity]" caption="quantity" attribute="1" defaultMemberUniqueName="[Sales__tbl].[quantity].[All]" allUniqueName="[Sales__tbl].[quantity].[All]" dimensionUniqueName="[Sales__tbl]" displayFolder="" count="0" memberValueDatatype="20" unbalanced="0"/>
    <cacheHierarchy uniqueName="[Sales__tbl].[selling_price]" caption="selling_price" attribute="1" defaultMemberUniqueName="[Sales__tbl].[selling_price].[All]" allUniqueName="[Sales__tbl].[selling_price].[All]" dimensionUniqueName="[Sales__tbl]" displayFolder="" count="0" memberValueDatatype="5" unbalanced="0"/>
    <cacheHierarchy uniqueName="[Sales__tbl].[discount]" caption="discount" attribute="1" defaultMemberUniqueName="[Sales__tbl].[discount].[All]" allUniqueName="[Sales__tbl].[discount].[All]" dimensionUniqueName="[Sales__tbl]" displayFolder="" count="0" memberValueDatatype="5" unbalanced="0"/>
    <cacheHierarchy uniqueName="[Sales__tbl].[Discount_amount]" caption="Discount_amount" attribute="1" defaultMemberUniqueName="[Sales__tbl].[Discount_amount].[All]" allUniqueName="[Sales__tbl].[Discount_amount].[All]" dimensionUniqueName="[Sales__tbl]" displayFolder="" count="0" memberValueDatatype="5" unbalanced="0"/>
    <cacheHierarchy uniqueName="[Sales__tbl].[total_amount]" caption="total_amount" attribute="1" defaultMemberUniqueName="[Sales__tbl].[total_amount].[All]" allUniqueName="[Sales__tbl].[total_amount].[All]" dimensionUniqueName="[Sales__tbl]" displayFolder="" count="0" memberValueDatatype="5" unbalanced="0"/>
    <cacheHierarchy uniqueName="[Sales__tbl].[date (Year)]" caption="date (Year)" attribute="1" defaultMemberUniqueName="[Sales__tbl].[date (Year)].[All]" allUniqueName="[Sales__tbl].[date (Year)].[All]" dimensionUniqueName="[Sales__tbl]" displayFolder="" count="2" memberValueDatatype="130" unbalanced="0">
      <fieldsUsage count="2">
        <fieldUsage x="-1"/>
        <fieldUsage x="2"/>
      </fieldsUsage>
    </cacheHierarchy>
    <cacheHierarchy uniqueName="[Sales__tbl].[date (Quarter)]" caption="date (Quarter)" attribute="1" defaultMemberUniqueName="[Sales__tbl].[date (Quarter)].[All]" allUniqueName="[Sales__tbl].[date (Quarter)].[All]" dimensionUniqueName="[Sales__tbl]" displayFolder="" count="0" memberValueDatatype="130" unbalanced="0"/>
    <cacheHierarchy uniqueName="[Sales__tbl].[date (Month)]" caption="date (Month)" attribute="1" defaultMemberUniqueName="[Sales__tbl].[date (Month)].[All]" allUniqueName="[Sales__tbl].[date (Month)].[All]" dimensionUniqueName="[Sales__tbl]" displayFolder="" count="2" memberValueDatatype="130" unbalanced="0">
      <fieldsUsage count="2">
        <fieldUsage x="-1"/>
        <fieldUsage x="0"/>
      </fieldsUsage>
    </cacheHierarchy>
    <cacheHierarchy uniqueName="[Sales__tbl].[profitperSales]" caption="profitperSales" attribute="1" defaultMemberUniqueName="[Sales__tbl].[profitperSales].[All]" allUniqueName="[Sales__tbl].[profitperSales].[All]" dimensionUniqueName="[Sales__tbl]" displayFolder="" count="0" memberValueDatatype="5" unbalanced="0"/>
    <cacheHierarchy uniqueName="[Sales__tbl].[product_key]" caption="product_key" attribute="1" defaultMemberUniqueName="[Sales__tbl].[product_key].[All]" allUniqueName="[Sales__tbl].[product_key].[All]" dimensionUniqueName="[Sales__tbl]" displayFolder="" count="0" memberValueDatatype="130" unbalanced="0"/>
    <cacheHierarchy uniqueName="[Sales__tbl].[date (Month Index)]" caption="date (Month Index)" attribute="1" defaultMemberUniqueName="[Sales__tbl].[date (Month Index)].[All]" allUniqueName="[Sales__tbl].[date (Month Index)].[All]" dimensionUniqueName="[Sales__tbl]" displayFolder="" count="0"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19"/>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19"/>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hidden="1">
      <extLst>
        <ext xmlns:x15="http://schemas.microsoft.com/office/spreadsheetml/2010/11/main" uri="{B97F6D7D-B522-45F9-BDA1-12C45D357490}">
          <x15:cacheHierarchy aggregatedColumn="27"/>
        </ext>
      </extLst>
    </cacheHierarchy>
    <cacheHierarchy uniqueName="[Measures].[Average of total_amount]" caption="Average of total_amount" measure="1" displayFolder="" measureGroup="Sales__tbl"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3"/>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1"/>
        </ext>
      </extLst>
    </cacheHierarchy>
    <cacheHierarchy uniqueName="[Measures].[Sum of Discount_amount]" caption="Sum of Discount_amount" measure="1" displayFolder="" measureGroup="Sales__tbl" count="0" hidden="1">
      <extLst>
        <ext xmlns:x15="http://schemas.microsoft.com/office/spreadsheetml/2010/11/main" uri="{B97F6D7D-B522-45F9-BDA1-12C45D357490}">
          <x15:cacheHierarchy aggregatedColumn="22"/>
        </ext>
      </extLst>
    </cacheHierarchy>
    <cacheHierarchy uniqueName="[Measures].[Count of customer_id 2]" caption="Count of customer_id 2" measure="1" displayFolder="" measureGroup="Sales__tbl" count="0" hidden="1">
      <extLst>
        <ext xmlns:x15="http://schemas.microsoft.com/office/spreadsheetml/2010/11/main" uri="{B97F6D7D-B522-45F9-BDA1-12C45D357490}">
          <x15:cacheHierarchy aggregatedColumn="16"/>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8.082627083335" backgroundQuery="1" createdVersion="7" refreshedVersion="7" minRefreshableVersion="3" recordCount="0" supportSubquery="1" supportAdvancedDrill="1" xr:uid="{D30951F0-E7B8-41DD-BC38-1BA20C7603BA}">
  <cacheSource type="external" connectionId="4"/>
  <cacheFields count="4">
    <cacheField name="[customer_tbl].[loyalty_status].[loyalty_status]" caption="loyalty_status" numFmtId="0" hierarchy="4" level="1">
      <sharedItems count="4">
        <s v="Bronze"/>
        <s v="Gold"/>
        <s v="Platinum"/>
        <s v="Silver"/>
      </sharedItems>
    </cacheField>
    <cacheField name="[Measures].[Sum of total_amount 3]" caption="Sum of total_amount 3" numFmtId="0" hierarchy="34" level="32767"/>
    <cacheField name="[Measures].[Count of customer_id 2]" caption="Count of customer_id 2" numFmtId="0" hierarchy="49" level="32767"/>
    <cacheField name="[Sales__tbl].[date (Year)].[date (Year)]" caption="date (Year)" numFmtId="0" hierarchy="24" level="1">
      <sharedItems containsSemiMixedTypes="0" containsNonDate="0" containsString="0"/>
    </cacheField>
  </cacheFields>
  <cacheHierarchies count="50">
    <cacheHierarchy uniqueName="[customer_tbl].[customer_id]" caption="customer_id" attribute="1" defaultMemberUniqueName="[customer_tbl].[customer_id].[All]" allUniqueName="[customer_tbl].[customer_id].[All]" dimensionUniqueName="[customer_tbl]" displayFolder="" count="0" memberValueDatatype="130" unbalanced="0"/>
    <cacheHierarchy uniqueName="[customer_tbl].[gender]" caption="gender" attribute="1" defaultMemberUniqueName="[customer_tbl].[gender].[All]" allUniqueName="[customer_tbl].[gender].[All]" dimensionUniqueName="[customer_tbl]" displayFolder="" count="0"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0"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fieldsUsage count="2">
        <fieldUsage x="-1"/>
        <fieldUsage x="0"/>
      </fieldsUsage>
    </cacheHierarchy>
    <cacheHierarchy uniqueName="[customer_tbl].[Branch_id]" caption="Branch_id" attribute="1" defaultMemberUniqueName="[customer_tbl].[Branch_id].[All]" allUniqueName="[customer_tbl].[Branch_id].[All]" dimensionUniqueName="[customer_tbl]" displayFolder="" count="0" memberValueDatatype="130" unbalanced="0"/>
    <cacheHierarchy uniqueName="[product_tbl].[product_id]" caption="product_id" attribute="1" defaultMemberUniqueName="[product_tbl].[product_id].[All]" allUniqueName="[product_tbl].[product_id].[All]" dimensionUniqueName="[product_tbl]" displayFolder="" count="0" memberValueDatatype="130" unbalanced="0"/>
    <cacheHierarchy uniqueName="[product_tbl].[category]" caption="category" attribute="1" defaultMemberUniqueName="[product_tbl].[category].[All]" allUniqueName="[product_tbl].[category].[All]" dimensionUniqueName="[product_tbl]" displayFolder="" count="0" memberValueDatatype="130" unbalanced="0"/>
    <cacheHierarchy uniqueName="[product_tbl].[cost_price]" caption="cost_price" attribute="1" defaultMemberUniqueName="[product_tbl].[cost_price].[All]" allUniqueName="[product_tbl].[cost_price].[All]" dimensionUniqueName="[product_tbl]" displayFolder="" count="0" memberValueDatatype="5" unbalanced="0"/>
    <cacheHierarchy uniqueName="[product_tbl].[selling_price]" caption="selling_price" attribute="1" defaultMemberUniqueName="[product_tbl].[selling_price].[All]" allUniqueName="[product_tbl].[selling_price].[All]" dimensionUniqueName="[product_tbl]" displayFolder="" count="0" memberValueDatatype="5" unbalanced="0"/>
    <cacheHierarchy uniqueName="[product_tbl].[profit_per_sale]" caption="profit_per_sale" attribute="1" defaultMemberUniqueName="[product_tbl].[profit_per_sale].[All]" allUniqueName="[product_tbl].[profit_per_sale].[All]" dimensionUniqueName="[product_tbl]" displayFolder="" count="0" memberValueDatatype="5" unbalanced="0"/>
    <cacheHierarchy uniqueName="[product_tbl].[product_key]" caption="product_key" attribute="1" defaultMemberUniqueName="[product_tbl].[product_key].[All]" allUniqueName="[product_tbl].[product_key].[All]" dimensionUniqueName="[product_tbl]" displayFolder="" count="0" memberValueDatatype="130" unbalanced="0"/>
    <cacheHierarchy uniqueName="[Sales__tbl].[sale_id]" caption="sale_id" attribute="1" defaultMemberUniqueName="[Sales__tbl].[sale_id].[All]" allUniqueName="[Sales__tbl].[sale_id].[All]" dimensionUniqueName="[Sales__tbl]" displayFolder="" count="0" memberValueDatatype="20" unbalanced="0"/>
    <cacheHierarchy uniqueName="[Sales__tbl].[Month]" caption="Month" attribute="1" defaultMemberUniqueName="[Sales__tbl].[Month].[All]" allUniqueName="[Sales__tbl].[Month].[All]" dimensionUniqueName="[Sales__tbl]" displayFolder="" count="0" memberValueDatatype="130" unbalanced="0"/>
    <cacheHierarchy uniqueName="[Sales__tbl].[date]" caption="date" attribute="1" time="1" defaultMemberUniqueName="[Sales__tbl].[date].[All]" allUniqueName="[Sales__tbl].[date].[All]" dimensionUniqueName="[Sales__tbl]" displayFolder="" count="0" memberValueDatatype="7" unbalanced="0"/>
    <cacheHierarchy uniqueName="[Sales__tbl].[branch_id]" caption="branch_id" attribute="1" defaultMemberUniqueName="[Sales__tbl].[branch_id].[All]" allUniqueName="[Sales__tbl].[branch_id].[All]" dimensionUniqueName="[Sales__tbl]" displayFolder="" count="0" memberValueDatatype="130" unbalanced="0"/>
    <cacheHierarchy uniqueName="[Sales__tbl].[customer_id]" caption="customer_id" attribute="1" defaultMemberUniqueName="[Sales__tbl].[customer_id].[All]" allUniqueName="[Sales__tbl].[customer_id].[All]" dimensionUniqueName="[Sales__tbl]" displayFolder="" count="0" memberValueDatatype="130" unbalanced="0"/>
    <cacheHierarchy uniqueName="[Sales__tbl].[product_id]" caption="product_id" attribute="1" defaultMemberUniqueName="[Sales__tbl].[product_id].[All]" allUniqueName="[Sales__tbl].[product_id].[All]" dimensionUniqueName="[Sales__tbl]" displayFolder="" count="0" memberValueDatatype="130" unbalanced="0"/>
    <cacheHierarchy uniqueName="[Sales__tbl].[Product_category]" caption="Product_category" attribute="1" defaultMemberUniqueName="[Sales__tbl].[Product_category].[All]" allUniqueName="[Sales__tbl].[Product_category].[All]" dimensionUniqueName="[Sales__tbl]" displayFolder="" count="0" memberValueDatatype="130" unbalanced="0"/>
    <cacheHierarchy uniqueName="[Sales__tbl].[quantity]" caption="quantity" attribute="1" defaultMemberUniqueName="[Sales__tbl].[quantity].[All]" allUniqueName="[Sales__tbl].[quantity].[All]" dimensionUniqueName="[Sales__tbl]" displayFolder="" count="0" memberValueDatatype="20" unbalanced="0"/>
    <cacheHierarchy uniqueName="[Sales__tbl].[selling_price]" caption="selling_price" attribute="1" defaultMemberUniqueName="[Sales__tbl].[selling_price].[All]" allUniqueName="[Sales__tbl].[selling_price].[All]" dimensionUniqueName="[Sales__tbl]" displayFolder="" count="0" memberValueDatatype="5" unbalanced="0"/>
    <cacheHierarchy uniqueName="[Sales__tbl].[discount]" caption="discount" attribute="1" defaultMemberUniqueName="[Sales__tbl].[discount].[All]" allUniqueName="[Sales__tbl].[discount].[All]" dimensionUniqueName="[Sales__tbl]" displayFolder="" count="0" memberValueDatatype="5" unbalanced="0"/>
    <cacheHierarchy uniqueName="[Sales__tbl].[Discount_amount]" caption="Discount_amount" attribute="1" defaultMemberUniqueName="[Sales__tbl].[Discount_amount].[All]" allUniqueName="[Sales__tbl].[Discount_amount].[All]" dimensionUniqueName="[Sales__tbl]" displayFolder="" count="0" memberValueDatatype="5" unbalanced="0"/>
    <cacheHierarchy uniqueName="[Sales__tbl].[total_amount]" caption="total_amount" attribute="1" defaultMemberUniqueName="[Sales__tbl].[total_amount].[All]" allUniqueName="[Sales__tbl].[total_amount].[All]" dimensionUniqueName="[Sales__tbl]" displayFolder="" count="0" memberValueDatatype="5" unbalanced="0"/>
    <cacheHierarchy uniqueName="[Sales__tbl].[date (Year)]" caption="date (Year)" attribute="1" defaultMemberUniqueName="[Sales__tbl].[date (Year)].[All]" allUniqueName="[Sales__tbl].[date (Year)].[All]" dimensionUniqueName="[Sales__tbl]" displayFolder="" count="2" memberValueDatatype="130" unbalanced="0">
      <fieldsUsage count="2">
        <fieldUsage x="-1"/>
        <fieldUsage x="3"/>
      </fieldsUsage>
    </cacheHierarchy>
    <cacheHierarchy uniqueName="[Sales__tbl].[date (Quarter)]" caption="date (Quarter)" attribute="1" defaultMemberUniqueName="[Sales__tbl].[date (Quarter)].[All]" allUniqueName="[Sales__tbl].[date (Quarter)].[All]" dimensionUniqueName="[Sales__tbl]" displayFolder="" count="0" memberValueDatatype="130" unbalanced="0"/>
    <cacheHierarchy uniqueName="[Sales__tbl].[date (Month)]" caption="date (Month)" attribute="1" defaultMemberUniqueName="[Sales__tbl].[date (Month)].[All]" allUniqueName="[Sales__tbl].[date (Month)].[All]" dimensionUniqueName="[Sales__tbl]" displayFolder="" count="0" memberValueDatatype="130" unbalanced="0"/>
    <cacheHierarchy uniqueName="[Sales__tbl].[profitperSales]" caption="profitperSales" attribute="1" defaultMemberUniqueName="[Sales__tbl].[profitperSales].[All]" allUniqueName="[Sales__tbl].[profitperSales].[All]" dimensionUniqueName="[Sales__tbl]" displayFolder="" count="0" memberValueDatatype="5" unbalanced="0"/>
    <cacheHierarchy uniqueName="[Sales__tbl].[product_key]" caption="product_key" attribute="1" defaultMemberUniqueName="[Sales__tbl].[product_key].[All]" allUniqueName="[Sales__tbl].[product_key].[All]" dimensionUniqueName="[Sales__tbl]" displayFolder="" count="0" memberValueDatatype="130" unbalanced="0"/>
    <cacheHierarchy uniqueName="[Sales__tbl].[date (Month Index)]" caption="date (Month Index)" attribute="1" defaultMemberUniqueName="[Sales__tbl].[date (Month Index)].[All]" allUniqueName="[Sales__tbl].[date (Month Index)].[All]" dimensionUniqueName="[Sales__tbl]" displayFolder="" count="0"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19"/>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19"/>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hidden="1">
      <extLst>
        <ext xmlns:x15="http://schemas.microsoft.com/office/spreadsheetml/2010/11/main" uri="{B97F6D7D-B522-45F9-BDA1-12C45D357490}">
          <x15:cacheHierarchy aggregatedColumn="27"/>
        </ext>
      </extLst>
    </cacheHierarchy>
    <cacheHierarchy uniqueName="[Measures].[Average of total_amount]" caption="Average of total_amount" measure="1" displayFolder="" measureGroup="Sales__tbl" count="0" hidden="1">
      <extLst>
        <ext xmlns:x15="http://schemas.microsoft.com/office/spreadsheetml/2010/11/main" uri="{B97F6D7D-B522-45F9-BDA1-12C45D357490}">
          <x15:cacheHierarchy aggregatedColumn="23"/>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3"/>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1"/>
        </ext>
      </extLst>
    </cacheHierarchy>
    <cacheHierarchy uniqueName="[Measures].[Sum of Discount_amount]" caption="Sum of Discount_amount" measure="1" displayFolder="" measureGroup="Sales__tbl" count="0" hidden="1">
      <extLst>
        <ext xmlns:x15="http://schemas.microsoft.com/office/spreadsheetml/2010/11/main" uri="{B97F6D7D-B522-45F9-BDA1-12C45D357490}">
          <x15:cacheHierarchy aggregatedColumn="22"/>
        </ext>
      </extLst>
    </cacheHierarchy>
    <cacheHierarchy uniqueName="[Measures].[Count of customer_id 2]" caption="Count of customer_id 2" measure="1" displayFolder="" measureGroup="Sales__tbl"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8.082627546297" backgroundQuery="1" createdVersion="7" refreshedVersion="7" minRefreshableVersion="3" recordCount="0" supportSubquery="1" supportAdvancedDrill="1" xr:uid="{E1033BD2-9A83-46CD-8588-ACF8400DAC6D}">
  <cacheSource type="external" connectionId="4"/>
  <cacheFields count="5">
    <cacheField name="[Sales__tbl].[discount].[discount]" caption="discount" numFmtId="0" hierarchy="21" level="1">
      <sharedItems containsSemiMixedTypes="0" containsString="0" containsNumber="1" minValue="0" maxValue="0.2" count="4">
        <n v="0"/>
        <n v="0.1"/>
        <n v="0.15"/>
        <n v="0.2"/>
      </sharedItems>
    </cacheField>
    <cacheField name="[Measures].[Sum of total_amount 3]" caption="Sum of total_amount 3" numFmtId="0" hierarchy="34" level="32767"/>
    <cacheField name="[Measures].[Sum of profitperSales]" caption="Sum of profitperSales" numFmtId="0" hierarchy="39" level="32767"/>
    <cacheField name="[Measures].[Sum of Discount_amount]" caption="Sum of Discount_amount" numFmtId="0" hierarchy="48" level="32767"/>
    <cacheField name="[Sales__tbl].[date (Year)].[date (Year)]" caption="date (Year)" numFmtId="0" hierarchy="24" level="1">
      <sharedItems containsSemiMixedTypes="0" containsNonDate="0" containsString="0"/>
    </cacheField>
  </cacheFields>
  <cacheHierarchies count="50">
    <cacheHierarchy uniqueName="[customer_tbl].[customer_id]" caption="customer_id" attribute="1" defaultMemberUniqueName="[customer_tbl].[customer_id].[All]" allUniqueName="[customer_tbl].[customer_id].[All]" dimensionUniqueName="[customer_tbl]" displayFolder="" count="0" memberValueDatatype="130" unbalanced="0"/>
    <cacheHierarchy uniqueName="[customer_tbl].[gender]" caption="gender" attribute="1" defaultMemberUniqueName="[customer_tbl].[gender].[All]" allUniqueName="[customer_tbl].[gender].[All]" dimensionUniqueName="[customer_tbl]" displayFolder="" count="0"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0"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cacheHierarchy uniqueName="[customer_tbl].[Branch_id]" caption="Branch_id" attribute="1" defaultMemberUniqueName="[customer_tbl].[Branch_id].[All]" allUniqueName="[customer_tbl].[Branch_id].[All]" dimensionUniqueName="[customer_tbl]" displayFolder="" count="0" memberValueDatatype="130" unbalanced="0"/>
    <cacheHierarchy uniqueName="[product_tbl].[product_id]" caption="product_id" attribute="1" defaultMemberUniqueName="[product_tbl].[product_id].[All]" allUniqueName="[product_tbl].[product_id].[All]" dimensionUniqueName="[product_tbl]" displayFolder="" count="0" memberValueDatatype="130" unbalanced="0"/>
    <cacheHierarchy uniqueName="[product_tbl].[category]" caption="category" attribute="1" defaultMemberUniqueName="[product_tbl].[category].[All]" allUniqueName="[product_tbl].[category].[All]" dimensionUniqueName="[product_tbl]" displayFolder="" count="0" memberValueDatatype="130" unbalanced="0"/>
    <cacheHierarchy uniqueName="[product_tbl].[cost_price]" caption="cost_price" attribute="1" defaultMemberUniqueName="[product_tbl].[cost_price].[All]" allUniqueName="[product_tbl].[cost_price].[All]" dimensionUniqueName="[product_tbl]" displayFolder="" count="0" memberValueDatatype="5" unbalanced="0"/>
    <cacheHierarchy uniqueName="[product_tbl].[selling_price]" caption="selling_price" attribute="1" defaultMemberUniqueName="[product_tbl].[selling_price].[All]" allUniqueName="[product_tbl].[selling_price].[All]" dimensionUniqueName="[product_tbl]" displayFolder="" count="0" memberValueDatatype="5" unbalanced="0"/>
    <cacheHierarchy uniqueName="[product_tbl].[profit_per_sale]" caption="profit_per_sale" attribute="1" defaultMemberUniqueName="[product_tbl].[profit_per_sale].[All]" allUniqueName="[product_tbl].[profit_per_sale].[All]" dimensionUniqueName="[product_tbl]" displayFolder="" count="0" memberValueDatatype="5" unbalanced="0"/>
    <cacheHierarchy uniqueName="[product_tbl].[product_key]" caption="product_key" attribute="1" defaultMemberUniqueName="[product_tbl].[product_key].[All]" allUniqueName="[product_tbl].[product_key].[All]" dimensionUniqueName="[product_tbl]" displayFolder="" count="0" memberValueDatatype="130" unbalanced="0"/>
    <cacheHierarchy uniqueName="[Sales__tbl].[sale_id]" caption="sale_id" attribute="1" defaultMemberUniqueName="[Sales__tbl].[sale_id].[All]" allUniqueName="[Sales__tbl].[sale_id].[All]" dimensionUniqueName="[Sales__tbl]" displayFolder="" count="0" memberValueDatatype="20" unbalanced="0"/>
    <cacheHierarchy uniqueName="[Sales__tbl].[Month]" caption="Month" attribute="1" defaultMemberUniqueName="[Sales__tbl].[Month].[All]" allUniqueName="[Sales__tbl].[Month].[All]" dimensionUniqueName="[Sales__tbl]" displayFolder="" count="0" memberValueDatatype="130" unbalanced="0"/>
    <cacheHierarchy uniqueName="[Sales__tbl].[date]" caption="date" attribute="1" time="1" defaultMemberUniqueName="[Sales__tbl].[date].[All]" allUniqueName="[Sales__tbl].[date].[All]" dimensionUniqueName="[Sales__tbl]" displayFolder="" count="0" memberValueDatatype="7" unbalanced="0"/>
    <cacheHierarchy uniqueName="[Sales__tbl].[branch_id]" caption="branch_id" attribute="1" defaultMemberUniqueName="[Sales__tbl].[branch_id].[All]" allUniqueName="[Sales__tbl].[branch_id].[All]" dimensionUniqueName="[Sales__tbl]" displayFolder="" count="0" memberValueDatatype="130" unbalanced="0"/>
    <cacheHierarchy uniqueName="[Sales__tbl].[customer_id]" caption="customer_id" attribute="1" defaultMemberUniqueName="[Sales__tbl].[customer_id].[All]" allUniqueName="[Sales__tbl].[customer_id].[All]" dimensionUniqueName="[Sales__tbl]" displayFolder="" count="0" memberValueDatatype="130" unbalanced="0"/>
    <cacheHierarchy uniqueName="[Sales__tbl].[product_id]" caption="product_id" attribute="1" defaultMemberUniqueName="[Sales__tbl].[product_id].[All]" allUniqueName="[Sales__tbl].[product_id].[All]" dimensionUniqueName="[Sales__tbl]" displayFolder="" count="0" memberValueDatatype="130" unbalanced="0"/>
    <cacheHierarchy uniqueName="[Sales__tbl].[Product_category]" caption="Product_category" attribute="1" defaultMemberUniqueName="[Sales__tbl].[Product_category].[All]" allUniqueName="[Sales__tbl].[Product_category].[All]" dimensionUniqueName="[Sales__tbl]" displayFolder="" count="0" memberValueDatatype="130" unbalanced="0"/>
    <cacheHierarchy uniqueName="[Sales__tbl].[quantity]" caption="quantity" attribute="1" defaultMemberUniqueName="[Sales__tbl].[quantity].[All]" allUniqueName="[Sales__tbl].[quantity].[All]" dimensionUniqueName="[Sales__tbl]" displayFolder="" count="2" memberValueDatatype="20" unbalanced="0"/>
    <cacheHierarchy uniqueName="[Sales__tbl].[selling_price]" caption="selling_price" attribute="1" defaultMemberUniqueName="[Sales__tbl].[selling_price].[All]" allUniqueName="[Sales__tbl].[selling_price].[All]" dimensionUniqueName="[Sales__tbl]" displayFolder="" count="0" memberValueDatatype="5" unbalanced="0"/>
    <cacheHierarchy uniqueName="[Sales__tbl].[discount]" caption="discount" attribute="1" defaultMemberUniqueName="[Sales__tbl].[discount].[All]" allUniqueName="[Sales__tbl].[discount].[All]" dimensionUniqueName="[Sales__tbl]" displayFolder="" count="2" memberValueDatatype="5" unbalanced="0">
      <fieldsUsage count="2">
        <fieldUsage x="-1"/>
        <fieldUsage x="0"/>
      </fieldsUsage>
    </cacheHierarchy>
    <cacheHierarchy uniqueName="[Sales__tbl].[Discount_amount]" caption="Discount_amount" attribute="1" defaultMemberUniqueName="[Sales__tbl].[Discount_amount].[All]" allUniqueName="[Sales__tbl].[Discount_amount].[All]" dimensionUniqueName="[Sales__tbl]" displayFolder="" count="0" memberValueDatatype="5" unbalanced="0"/>
    <cacheHierarchy uniqueName="[Sales__tbl].[total_amount]" caption="total_amount" attribute="1" defaultMemberUniqueName="[Sales__tbl].[total_amount].[All]" allUniqueName="[Sales__tbl].[total_amount].[All]" dimensionUniqueName="[Sales__tbl]" displayFolder="" count="0" memberValueDatatype="5" unbalanced="0"/>
    <cacheHierarchy uniqueName="[Sales__tbl].[date (Year)]" caption="date (Year)" attribute="1" defaultMemberUniqueName="[Sales__tbl].[date (Year)].[All]" allUniqueName="[Sales__tbl].[date (Year)].[All]" dimensionUniqueName="[Sales__tbl]" displayFolder="" count="2" memberValueDatatype="130" unbalanced="0">
      <fieldsUsage count="2">
        <fieldUsage x="-1"/>
        <fieldUsage x="4"/>
      </fieldsUsage>
    </cacheHierarchy>
    <cacheHierarchy uniqueName="[Sales__tbl].[date (Quarter)]" caption="date (Quarter)" attribute="1" defaultMemberUniqueName="[Sales__tbl].[date (Quarter)].[All]" allUniqueName="[Sales__tbl].[date (Quarter)].[All]" dimensionUniqueName="[Sales__tbl]" displayFolder="" count="0" memberValueDatatype="130" unbalanced="0"/>
    <cacheHierarchy uniqueName="[Sales__tbl].[date (Month)]" caption="date (Month)" attribute="1" defaultMemberUniqueName="[Sales__tbl].[date (Month)].[All]" allUniqueName="[Sales__tbl].[date (Month)].[All]" dimensionUniqueName="[Sales__tbl]" displayFolder="" count="0" memberValueDatatype="130" unbalanced="0"/>
    <cacheHierarchy uniqueName="[Sales__tbl].[profitperSales]" caption="profitperSales" attribute="1" defaultMemberUniqueName="[Sales__tbl].[profitperSales].[All]" allUniqueName="[Sales__tbl].[profitperSales].[All]" dimensionUniqueName="[Sales__tbl]" displayFolder="" count="0" memberValueDatatype="5" unbalanced="0"/>
    <cacheHierarchy uniqueName="[Sales__tbl].[product_key]" caption="product_key" attribute="1" defaultMemberUniqueName="[Sales__tbl].[product_key].[All]" allUniqueName="[Sales__tbl].[product_key].[All]" dimensionUniqueName="[Sales__tbl]" displayFolder="" count="0" memberValueDatatype="130" unbalanced="0"/>
    <cacheHierarchy uniqueName="[Sales__tbl].[date (Month Index)]" caption="date (Month Index)" attribute="1" defaultMemberUniqueName="[Sales__tbl].[date (Month Index)].[All]" allUniqueName="[Sales__tbl].[date (Month Index)].[All]" dimensionUniqueName="[Sales__tbl]" displayFolder="" count="0"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19"/>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19"/>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oneField="1" hidden="1">
      <fieldsUsage count="1">
        <fieldUsage x="2"/>
      </fieldsUsage>
      <extLst>
        <ext xmlns:x15="http://schemas.microsoft.com/office/spreadsheetml/2010/11/main" uri="{B97F6D7D-B522-45F9-BDA1-12C45D357490}">
          <x15:cacheHierarchy aggregatedColumn="27"/>
        </ext>
      </extLst>
    </cacheHierarchy>
    <cacheHierarchy uniqueName="[Measures].[Average of total_amount]" caption="Average of total_amount" measure="1" displayFolder="" measureGroup="Sales__tbl" count="0" hidden="1">
      <extLst>
        <ext xmlns:x15="http://schemas.microsoft.com/office/spreadsheetml/2010/11/main" uri="{B97F6D7D-B522-45F9-BDA1-12C45D357490}">
          <x15:cacheHierarchy aggregatedColumn="23"/>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3"/>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1"/>
        </ext>
      </extLst>
    </cacheHierarchy>
    <cacheHierarchy uniqueName="[Measures].[Sum of Discount_amount]" caption="Sum of Discount_amount" measure="1" displayFolder="" measureGroup="Sales__tbl"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customer_id 2]" caption="Count of customer_id 2" measure="1" displayFolder="" measureGroup="Sales__tbl" count="0" hidden="1">
      <extLst>
        <ext xmlns:x15="http://schemas.microsoft.com/office/spreadsheetml/2010/11/main" uri="{B97F6D7D-B522-45F9-BDA1-12C45D357490}">
          <x15:cacheHierarchy aggregatedColumn="16"/>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8.082627777774" backgroundQuery="1" createdVersion="7" refreshedVersion="7" minRefreshableVersion="3" recordCount="0" supportSubquery="1" supportAdvancedDrill="1" xr:uid="{FA680FD5-13E7-4F88-A79F-E9B470B4CE21}">
  <cacheSource type="external" connectionId="4"/>
  <cacheFields count="3">
    <cacheField name="[customer_tbl].[Branch_id].[Branch_id]" caption="Branch_id" numFmtId="0" hierarchy="5" level="1">
      <sharedItems count="10">
        <s v="C01"/>
        <s v="C02"/>
        <s v="E01"/>
        <s v="E02"/>
        <s v="N01"/>
        <s v="N02"/>
        <s v="S01"/>
        <s v="S02"/>
        <s v="W01"/>
        <s v="W02"/>
      </sharedItems>
    </cacheField>
    <cacheField name="[Measures].[Sum of total_amount 3]" caption="Sum of total_amount 3" numFmtId="0" hierarchy="34" level="32767"/>
    <cacheField name="[Sales__tbl].[date (Year)].[date (Year)]" caption="date (Year)" numFmtId="0" hierarchy="24" level="1">
      <sharedItems containsSemiMixedTypes="0" containsNonDate="0" containsString="0"/>
    </cacheField>
  </cacheFields>
  <cacheHierarchies count="50">
    <cacheHierarchy uniqueName="[customer_tbl].[customer_id]" caption="customer_id" attribute="1" defaultMemberUniqueName="[customer_tbl].[customer_id].[All]" allUniqueName="[customer_tbl].[customer_id].[All]" dimensionUniqueName="[customer_tbl]" displayFolder="" count="0" memberValueDatatype="130" unbalanced="0"/>
    <cacheHierarchy uniqueName="[customer_tbl].[gender]" caption="gender" attribute="1" defaultMemberUniqueName="[customer_tbl].[gender].[All]" allUniqueName="[customer_tbl].[gender].[All]" dimensionUniqueName="[customer_tbl]" displayFolder="" count="0"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0"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cacheHierarchy uniqueName="[customer_tbl].[Branch_id]" caption="Branch_id" attribute="1" defaultMemberUniqueName="[customer_tbl].[Branch_id].[All]" allUniqueName="[customer_tbl].[Branch_id].[All]" dimensionUniqueName="[customer_tbl]" displayFolder="" count="2" memberValueDatatype="130" unbalanced="0">
      <fieldsUsage count="2">
        <fieldUsage x="-1"/>
        <fieldUsage x="0"/>
      </fieldsUsage>
    </cacheHierarchy>
    <cacheHierarchy uniqueName="[product_tbl].[product_id]" caption="product_id" attribute="1" defaultMemberUniqueName="[product_tbl].[product_id].[All]" allUniqueName="[product_tbl].[product_id].[All]" dimensionUniqueName="[product_tbl]" displayFolder="" count="0" memberValueDatatype="130" unbalanced="0"/>
    <cacheHierarchy uniqueName="[product_tbl].[category]" caption="category" attribute="1" defaultMemberUniqueName="[product_tbl].[category].[All]" allUniqueName="[product_tbl].[category].[All]" dimensionUniqueName="[product_tbl]" displayFolder="" count="0" memberValueDatatype="130" unbalanced="0"/>
    <cacheHierarchy uniqueName="[product_tbl].[cost_price]" caption="cost_price" attribute="1" defaultMemberUniqueName="[product_tbl].[cost_price].[All]" allUniqueName="[product_tbl].[cost_price].[All]" dimensionUniqueName="[product_tbl]" displayFolder="" count="0" memberValueDatatype="5" unbalanced="0"/>
    <cacheHierarchy uniqueName="[product_tbl].[selling_price]" caption="selling_price" attribute="1" defaultMemberUniqueName="[product_tbl].[selling_price].[All]" allUniqueName="[product_tbl].[selling_price].[All]" dimensionUniqueName="[product_tbl]" displayFolder="" count="0" memberValueDatatype="5" unbalanced="0"/>
    <cacheHierarchy uniqueName="[product_tbl].[profit_per_sale]" caption="profit_per_sale" attribute="1" defaultMemberUniqueName="[product_tbl].[profit_per_sale].[All]" allUniqueName="[product_tbl].[profit_per_sale].[All]" dimensionUniqueName="[product_tbl]" displayFolder="" count="0" memberValueDatatype="5" unbalanced="0"/>
    <cacheHierarchy uniqueName="[product_tbl].[product_key]" caption="product_key" attribute="1" defaultMemberUniqueName="[product_tbl].[product_key].[All]" allUniqueName="[product_tbl].[product_key].[All]" dimensionUniqueName="[product_tbl]" displayFolder="" count="0" memberValueDatatype="130" unbalanced="0"/>
    <cacheHierarchy uniqueName="[Sales__tbl].[sale_id]" caption="sale_id" attribute="1" defaultMemberUniqueName="[Sales__tbl].[sale_id].[All]" allUniqueName="[Sales__tbl].[sale_id].[All]" dimensionUniqueName="[Sales__tbl]" displayFolder="" count="0" memberValueDatatype="20" unbalanced="0"/>
    <cacheHierarchy uniqueName="[Sales__tbl].[Month]" caption="Month" attribute="1" defaultMemberUniqueName="[Sales__tbl].[Month].[All]" allUniqueName="[Sales__tbl].[Month].[All]" dimensionUniqueName="[Sales__tbl]" displayFolder="" count="0" memberValueDatatype="130" unbalanced="0"/>
    <cacheHierarchy uniqueName="[Sales__tbl].[date]" caption="date" attribute="1" time="1" defaultMemberUniqueName="[Sales__tbl].[date].[All]" allUniqueName="[Sales__tbl].[date].[All]" dimensionUniqueName="[Sales__tbl]" displayFolder="" count="0" memberValueDatatype="7" unbalanced="0"/>
    <cacheHierarchy uniqueName="[Sales__tbl].[branch_id]" caption="branch_id" attribute="1" defaultMemberUniqueName="[Sales__tbl].[branch_id].[All]" allUniqueName="[Sales__tbl].[branch_id].[All]" dimensionUniqueName="[Sales__tbl]" displayFolder="" count="0" memberValueDatatype="130" unbalanced="0"/>
    <cacheHierarchy uniqueName="[Sales__tbl].[customer_id]" caption="customer_id" attribute="1" defaultMemberUniqueName="[Sales__tbl].[customer_id].[All]" allUniqueName="[Sales__tbl].[customer_id].[All]" dimensionUniqueName="[Sales__tbl]" displayFolder="" count="0" memberValueDatatype="130" unbalanced="0"/>
    <cacheHierarchy uniqueName="[Sales__tbl].[product_id]" caption="product_id" attribute="1" defaultMemberUniqueName="[Sales__tbl].[product_id].[All]" allUniqueName="[Sales__tbl].[product_id].[All]" dimensionUniqueName="[Sales__tbl]" displayFolder="" count="0" memberValueDatatype="130" unbalanced="0"/>
    <cacheHierarchy uniqueName="[Sales__tbl].[Product_category]" caption="Product_category" attribute="1" defaultMemberUniqueName="[Sales__tbl].[Product_category].[All]" allUniqueName="[Sales__tbl].[Product_category].[All]" dimensionUniqueName="[Sales__tbl]" displayFolder="" count="0" memberValueDatatype="130" unbalanced="0"/>
    <cacheHierarchy uniqueName="[Sales__tbl].[quantity]" caption="quantity" attribute="1" defaultMemberUniqueName="[Sales__tbl].[quantity].[All]" allUniqueName="[Sales__tbl].[quantity].[All]" dimensionUniqueName="[Sales__tbl]" displayFolder="" count="0" memberValueDatatype="20" unbalanced="0"/>
    <cacheHierarchy uniqueName="[Sales__tbl].[selling_price]" caption="selling_price" attribute="1" defaultMemberUniqueName="[Sales__tbl].[selling_price].[All]" allUniqueName="[Sales__tbl].[selling_price].[All]" dimensionUniqueName="[Sales__tbl]" displayFolder="" count="0" memberValueDatatype="5" unbalanced="0"/>
    <cacheHierarchy uniqueName="[Sales__tbl].[discount]" caption="discount" attribute="1" defaultMemberUniqueName="[Sales__tbl].[discount].[All]" allUniqueName="[Sales__tbl].[discount].[All]" dimensionUniqueName="[Sales__tbl]" displayFolder="" count="0" memberValueDatatype="5" unbalanced="0"/>
    <cacheHierarchy uniqueName="[Sales__tbl].[Discount_amount]" caption="Discount_amount" attribute="1" defaultMemberUniqueName="[Sales__tbl].[Discount_amount].[All]" allUniqueName="[Sales__tbl].[Discount_amount].[All]" dimensionUniqueName="[Sales__tbl]" displayFolder="" count="0" memberValueDatatype="5" unbalanced="0"/>
    <cacheHierarchy uniqueName="[Sales__tbl].[total_amount]" caption="total_amount" attribute="1" defaultMemberUniqueName="[Sales__tbl].[total_amount].[All]" allUniqueName="[Sales__tbl].[total_amount].[All]" dimensionUniqueName="[Sales__tbl]" displayFolder="" count="0" memberValueDatatype="5" unbalanced="0"/>
    <cacheHierarchy uniqueName="[Sales__tbl].[date (Year)]" caption="date (Year)" attribute="1" defaultMemberUniqueName="[Sales__tbl].[date (Year)].[All]" allUniqueName="[Sales__tbl].[date (Year)].[All]" dimensionUniqueName="[Sales__tbl]" displayFolder="" count="2" memberValueDatatype="130" unbalanced="0">
      <fieldsUsage count="2">
        <fieldUsage x="-1"/>
        <fieldUsage x="2"/>
      </fieldsUsage>
    </cacheHierarchy>
    <cacheHierarchy uniqueName="[Sales__tbl].[date (Quarter)]" caption="date (Quarter)" attribute="1" defaultMemberUniqueName="[Sales__tbl].[date (Quarter)].[All]" allUniqueName="[Sales__tbl].[date (Quarter)].[All]" dimensionUniqueName="[Sales__tbl]" displayFolder="" count="0" memberValueDatatype="130" unbalanced="0"/>
    <cacheHierarchy uniqueName="[Sales__tbl].[date (Month)]" caption="date (Month)" attribute="1" defaultMemberUniqueName="[Sales__tbl].[date (Month)].[All]" allUniqueName="[Sales__tbl].[date (Month)].[All]" dimensionUniqueName="[Sales__tbl]" displayFolder="" count="0" memberValueDatatype="130" unbalanced="0"/>
    <cacheHierarchy uniqueName="[Sales__tbl].[profitperSales]" caption="profitperSales" attribute="1" defaultMemberUniqueName="[Sales__tbl].[profitperSales].[All]" allUniqueName="[Sales__tbl].[profitperSales].[All]" dimensionUniqueName="[Sales__tbl]" displayFolder="" count="0" memberValueDatatype="5" unbalanced="0"/>
    <cacheHierarchy uniqueName="[Sales__tbl].[product_key]" caption="product_key" attribute="1" defaultMemberUniqueName="[Sales__tbl].[product_key].[All]" allUniqueName="[Sales__tbl].[product_key].[All]" dimensionUniqueName="[Sales__tbl]" displayFolder="" count="0" memberValueDatatype="130" unbalanced="0"/>
    <cacheHierarchy uniqueName="[Sales__tbl].[date (Month Index)]" caption="date (Month Index)" attribute="1" defaultMemberUniqueName="[Sales__tbl].[date (Month Index)].[All]" allUniqueName="[Sales__tbl].[date (Month Index)].[All]" dimensionUniqueName="[Sales__tbl]" displayFolder="" count="0"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19"/>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19"/>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hidden="1">
      <extLst>
        <ext xmlns:x15="http://schemas.microsoft.com/office/spreadsheetml/2010/11/main" uri="{B97F6D7D-B522-45F9-BDA1-12C45D357490}">
          <x15:cacheHierarchy aggregatedColumn="27"/>
        </ext>
      </extLst>
    </cacheHierarchy>
    <cacheHierarchy uniqueName="[Measures].[Average of total_amount]" caption="Average of total_amount" measure="1" displayFolder="" measureGroup="Sales__tbl" count="0" hidden="1">
      <extLst>
        <ext xmlns:x15="http://schemas.microsoft.com/office/spreadsheetml/2010/11/main" uri="{B97F6D7D-B522-45F9-BDA1-12C45D357490}">
          <x15:cacheHierarchy aggregatedColumn="23"/>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3"/>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6"/>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1"/>
        </ext>
      </extLst>
    </cacheHierarchy>
    <cacheHierarchy uniqueName="[Measures].[Sum of Discount_amount]" caption="Sum of Discount_amount" measure="1" displayFolder="" measureGroup="Sales__tbl" count="0" hidden="1">
      <extLst>
        <ext xmlns:x15="http://schemas.microsoft.com/office/spreadsheetml/2010/11/main" uri="{B97F6D7D-B522-45F9-BDA1-12C45D357490}">
          <x15:cacheHierarchy aggregatedColumn="22"/>
        </ext>
      </extLst>
    </cacheHierarchy>
    <cacheHierarchy uniqueName="[Measures].[Count of customer_id 2]" caption="Count of customer_id 2" measure="1" displayFolder="" measureGroup="Sales__tbl" count="0" hidden="1">
      <extLst>
        <ext xmlns:x15="http://schemas.microsoft.com/office/spreadsheetml/2010/11/main" uri="{B97F6D7D-B522-45F9-BDA1-12C45D357490}">
          <x15:cacheHierarchy aggregatedColumn="16"/>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S WORK" refreshedDate="46137.569271064815" backgroundQuery="1" createdVersion="3" refreshedVersion="7" minRefreshableVersion="3" recordCount="0" supportSubquery="1" supportAdvancedDrill="1" xr:uid="{D0BF3A0F-469F-4DC5-9D98-162CB51B0E31}">
  <cacheSource type="external" connectionId="4">
    <extLst>
      <ext xmlns:x14="http://schemas.microsoft.com/office/spreadsheetml/2009/9/main" uri="{F057638F-6D5F-4e77-A914-E7F072B9BCA8}">
        <x14:sourceConnection name="ThisWorkbookDataModel"/>
      </ext>
    </extLst>
  </cacheSource>
  <cacheFields count="0"/>
  <cacheHierarchies count="51">
    <cacheHierarchy uniqueName="[customer_tbl].[customer_id]" caption="customer_id" attribute="1" defaultMemberUniqueName="[customer_tbl].[customer_id].[All]" allUniqueName="[customer_tbl].[customer_id].[All]" dimensionUniqueName="[customer_tbl]" displayFolder="" count="2" memberValueDatatype="130" unbalanced="0"/>
    <cacheHierarchy uniqueName="[customer_tbl].[gender]" caption="gender" attribute="1" defaultMemberUniqueName="[customer_tbl].[gender].[All]" allUniqueName="[customer_tbl].[gender].[All]" dimensionUniqueName="[customer_tbl]" displayFolder="" count="2" memberValueDatatype="130" unbalanced="0"/>
    <cacheHierarchy uniqueName="[customer_tbl].[region]" caption="region" attribute="1" defaultMemberUniqueName="[customer_tbl].[region].[All]" allUniqueName="[customer_tbl].[region].[All]" dimensionUniqueName="[customer_tbl]" displayFolder="" count="2" memberValueDatatype="130" unbalanced="0"/>
    <cacheHierarchy uniqueName="[customer_tbl].[signup_date]" caption="signup_date" attribute="1" time="1" defaultMemberUniqueName="[customer_tbl].[signup_date].[All]" allUniqueName="[customer_tbl].[signup_date].[All]" dimensionUniqueName="[customer_tbl]" displayFolder="" count="2" memberValueDatatype="7" unbalanced="0"/>
    <cacheHierarchy uniqueName="[customer_tbl].[loyalty_status]" caption="loyalty_status" attribute="1" defaultMemberUniqueName="[customer_tbl].[loyalty_status].[All]" allUniqueName="[customer_tbl].[loyalty_status].[All]" dimensionUniqueName="[customer_tbl]" displayFolder="" count="2" memberValueDatatype="130" unbalanced="0"/>
    <cacheHierarchy uniqueName="[customer_tbl].[Branch_id]" caption="Branch_id" attribute="1" defaultMemberUniqueName="[customer_tbl].[Branch_id].[All]" allUniqueName="[customer_tbl].[Branch_id].[All]" dimensionUniqueName="[customer_tbl]"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_tbl].[product_id]" caption="product_id" attribute="1" defaultMemberUniqueName="[product_tbl].[product_id].[All]" allUniqueName="[product_tbl].[product_id].[All]" dimensionUniqueName="[product_tbl]" displayFolder="" count="2" memberValueDatatype="130" unbalanced="0"/>
    <cacheHierarchy uniqueName="[product_tbl].[category]" caption="category" attribute="1" defaultMemberUniqueName="[product_tbl].[category].[All]" allUniqueName="[product_tbl].[category].[All]" dimensionUniqueName="[product_tbl]" displayFolder="" count="2" memberValueDatatype="130" unbalanced="0"/>
    <cacheHierarchy uniqueName="[product_tbl].[cost_price]" caption="cost_price" attribute="1" defaultMemberUniqueName="[product_tbl].[cost_price].[All]" allUniqueName="[product_tbl].[cost_price].[All]" dimensionUniqueName="[product_tbl]" displayFolder="" count="2" memberValueDatatype="5" unbalanced="0"/>
    <cacheHierarchy uniqueName="[product_tbl].[selling_price]" caption="selling_price" attribute="1" defaultMemberUniqueName="[product_tbl].[selling_price].[All]" allUniqueName="[product_tbl].[selling_price].[All]" dimensionUniqueName="[product_tbl]" displayFolder="" count="2" memberValueDatatype="5" unbalanced="0"/>
    <cacheHierarchy uniqueName="[product_tbl].[profit_per_sale]" caption="profit_per_sale" attribute="1" defaultMemberUniqueName="[product_tbl].[profit_per_sale].[All]" allUniqueName="[product_tbl].[profit_per_sale].[All]" dimensionUniqueName="[product_tbl]" displayFolder="" count="2" memberValueDatatype="5" unbalanced="0"/>
    <cacheHierarchy uniqueName="[product_tbl].[product_key]" caption="product_key" attribute="1" defaultMemberUniqueName="[product_tbl].[product_key].[All]" allUniqueName="[product_tbl].[product_key].[All]" dimensionUniqueName="[product_tbl]" displayFolder="" count="2" memberValueDatatype="130" unbalanced="0"/>
    <cacheHierarchy uniqueName="[Sales__tbl].[sale_id]" caption="sale_id" attribute="1" defaultMemberUniqueName="[Sales__tbl].[sale_id].[All]" allUniqueName="[Sales__tbl].[sale_id].[All]" dimensionUniqueName="[Sales__tbl]" displayFolder="" count="2" memberValueDatatype="20" unbalanced="0"/>
    <cacheHierarchy uniqueName="[Sales__tbl].[Month]" caption="Month" attribute="1" defaultMemberUniqueName="[Sales__tbl].[Month].[All]" allUniqueName="[Sales__tbl].[Month].[All]" dimensionUniqueName="[Sales__tbl]" displayFolder="" count="2" memberValueDatatype="130" unbalanced="0"/>
    <cacheHierarchy uniqueName="[Sales__tbl].[date]" caption="date" attribute="1" time="1" defaultMemberUniqueName="[Sales__tbl].[date].[All]" allUniqueName="[Sales__tbl].[date].[All]" dimensionUniqueName="[Sales__tbl]" displayFolder="" count="2" memberValueDatatype="7" unbalanced="0"/>
    <cacheHierarchy uniqueName="[Sales__tbl].[branch_id]" caption="branch_id" attribute="1" defaultMemberUniqueName="[Sales__tbl].[branch_id].[All]" allUniqueName="[Sales__tbl].[branch_id].[All]" dimensionUniqueName="[Sales__tbl]" displayFolder="" count="2" memberValueDatatype="130" unbalanced="0"/>
    <cacheHierarchy uniqueName="[Sales__tbl].[customer_id]" caption="customer_id" attribute="1" defaultMemberUniqueName="[Sales__tbl].[customer_id].[All]" allUniqueName="[Sales__tbl].[customer_id].[All]" dimensionUniqueName="[Sales__tbl]" displayFolder="" count="2" memberValueDatatype="130" unbalanced="0"/>
    <cacheHierarchy uniqueName="[Sales__tbl].[product_id]" caption="product_id" attribute="1" defaultMemberUniqueName="[Sales__tbl].[product_id].[All]" allUniqueName="[Sales__tbl].[product_id].[All]" dimensionUniqueName="[Sales__tbl]" displayFolder="" count="2" memberValueDatatype="130" unbalanced="0"/>
    <cacheHierarchy uniqueName="[Sales__tbl].[Product_category]" caption="Product_category" attribute="1" defaultMemberUniqueName="[Sales__tbl].[Product_category].[All]" allUniqueName="[Sales__tbl].[Product_category].[All]" dimensionUniqueName="[Sales__tbl]" displayFolder="" count="2" memberValueDatatype="130" unbalanced="0"/>
    <cacheHierarchy uniqueName="[Sales__tbl].[quantity]" caption="quantity" attribute="1" defaultMemberUniqueName="[Sales__tbl].[quantity].[All]" allUniqueName="[Sales__tbl].[quantity].[All]" dimensionUniqueName="[Sales__tbl]" displayFolder="" count="2" memberValueDatatype="20" unbalanced="0"/>
    <cacheHierarchy uniqueName="[Sales__tbl].[selling_price]" caption="selling_price" attribute="1" defaultMemberUniqueName="[Sales__tbl].[selling_price].[All]" allUniqueName="[Sales__tbl].[selling_price].[All]" dimensionUniqueName="[Sales__tbl]" displayFolder="" count="2" memberValueDatatype="5" unbalanced="0"/>
    <cacheHierarchy uniqueName="[Sales__tbl].[discount]" caption="discount" attribute="1" defaultMemberUniqueName="[Sales__tbl].[discount].[All]" allUniqueName="[Sales__tbl].[discount].[All]" dimensionUniqueName="[Sales__tbl]" displayFolder="" count="2" memberValueDatatype="5" unbalanced="0"/>
    <cacheHierarchy uniqueName="[Sales__tbl].[Discount_amount]" caption="Discount_amount" attribute="1" defaultMemberUniqueName="[Sales__tbl].[Discount_amount].[All]" allUniqueName="[Sales__tbl].[Discount_amount].[All]" dimensionUniqueName="[Sales__tbl]" displayFolder="" count="2" memberValueDatatype="5" unbalanced="0"/>
    <cacheHierarchy uniqueName="[Sales__tbl].[total_amount]" caption="total_amount" attribute="1" defaultMemberUniqueName="[Sales__tbl].[total_amount].[All]" allUniqueName="[Sales__tbl].[total_amount].[All]" dimensionUniqueName="[Sales__tbl]" displayFolder="" count="2" memberValueDatatype="5" unbalanced="0"/>
    <cacheHierarchy uniqueName="[Sales__tbl].[date (Year)]" caption="date (Year)" attribute="1" defaultMemberUniqueName="[Sales__tbl].[date (Year)].[All]" allUniqueName="[Sales__tbl].[date (Year)].[All]" dimensionUniqueName="[Sales__tbl]" displayFolder="" count="2" memberValueDatatype="130" unbalanced="0"/>
    <cacheHierarchy uniqueName="[Sales__tbl].[date (Quarter)]" caption="date (Quarter)" attribute="1" defaultMemberUniqueName="[Sales__tbl].[date (Quarter)].[All]" allUniqueName="[Sales__tbl].[date (Quarter)].[All]" dimensionUniqueName="[Sales__tbl]" displayFolder="" count="2" memberValueDatatype="130" unbalanced="0"/>
    <cacheHierarchy uniqueName="[Sales__tbl].[date (Month)]" caption="date (Month)" attribute="1" defaultMemberUniqueName="[Sales__tbl].[date (Month)].[All]" allUniqueName="[Sales__tbl].[date (Month)].[All]" dimensionUniqueName="[Sales__tbl]" displayFolder="" count="2" memberValueDatatype="130" unbalanced="0"/>
    <cacheHierarchy uniqueName="[Sales__tbl].[profitperSales]" caption="profitperSales" attribute="1" defaultMemberUniqueName="[Sales__tbl].[profitperSales].[All]" allUniqueName="[Sales__tbl].[profitperSales].[All]" dimensionUniqueName="[Sales__tbl]" displayFolder="" count="2" memberValueDatatype="5" unbalanced="0"/>
    <cacheHierarchy uniqueName="[Sales__tbl].[product_key]" caption="product_key" attribute="1" defaultMemberUniqueName="[Sales__tbl].[product_key].[All]" allUniqueName="[Sales__tbl].[product_key].[All]" dimensionUniqueName="[Sales__tbl]" displayFolder="" count="2" memberValueDatatype="130" unbalanced="0"/>
    <cacheHierarchy uniqueName="[Sales__tbl].[date (Month Index)]" caption="date (Month Index)" attribute="1" defaultMemberUniqueName="[Sales__tbl].[date (Month Index)].[All]" allUniqueName="[Sales__tbl].[date (Month Index)].[All]" dimensionUniqueName="[Sales__tbl]" displayFolder="" count="2" memberValueDatatype="20" unbalanced="0" hidden="1"/>
    <cacheHierarchy uniqueName="[Measures].[__XL_Count Table8]" caption="__XL_Count Table8" measure="1" displayFolder="" measureGroup="product_tbl" count="0" hidden="1"/>
    <cacheHierarchy uniqueName="[Measures].[__XL_Count Table1]" caption="__XL_Count Table1" measure="1" displayFolder="" measureGroup="customer_tbl" count="0" hidden="1"/>
    <cacheHierarchy uniqueName="[Measures].[__XL_Count Sales__2]" caption="__XL_Count Sales__2" measure="1" displayFolder="" measureGroup="Sales__tbl" count="0" hidden="1"/>
    <cacheHierarchy uniqueName="[Measures].[__No measures defined]" caption="__No measures defined" measure="1" displayFolder="" count="0" hidden="1"/>
    <cacheHierarchy uniqueName="[Measures].[Sum of total_amount 3]" caption="Sum of total_amount 3" measure="1" displayFolder="" measureGroup="Sales__tbl"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_tbl" count="0" hidden="1">
      <extLst>
        <ext xmlns:x15="http://schemas.microsoft.com/office/spreadsheetml/2010/11/main" uri="{B97F6D7D-B522-45F9-BDA1-12C45D357490}">
          <x15:cacheHierarchy aggregatedColumn="20"/>
        </ext>
      </extLst>
    </cacheHierarchy>
    <cacheHierarchy uniqueName="[Measures].[Sum of profit_per_sale]" caption="Sum of profit_per_sale" measure="1" displayFolder="" measureGroup="product_tbl"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Sales__tbl" count="0" hidden="1">
      <extLst>
        <ext xmlns:x15="http://schemas.microsoft.com/office/spreadsheetml/2010/11/main" uri="{B97F6D7D-B522-45F9-BDA1-12C45D357490}">
          <x15:cacheHierarchy aggregatedColumn="20"/>
        </ext>
      </extLst>
    </cacheHierarchy>
    <cacheHierarchy uniqueName="[Measures].[Count of loyalty_status]" caption="Count of loyalty_status" measure="1" displayFolder="" measureGroup="customer_tbl" count="0" hidden="1">
      <extLst>
        <ext xmlns:x15="http://schemas.microsoft.com/office/spreadsheetml/2010/11/main" uri="{B97F6D7D-B522-45F9-BDA1-12C45D357490}">
          <x15:cacheHierarchy aggregatedColumn="4"/>
        </ext>
      </extLst>
    </cacheHierarchy>
    <cacheHierarchy uniqueName="[Measures].[Sum of profitperSales]" caption="Sum of profitperSales" measure="1" displayFolder="" measureGroup="Sales__tbl" count="0" hidden="1">
      <extLst>
        <ext xmlns:x15="http://schemas.microsoft.com/office/spreadsheetml/2010/11/main" uri="{B97F6D7D-B522-45F9-BDA1-12C45D357490}">
          <x15:cacheHierarchy aggregatedColumn="28"/>
        </ext>
      </extLst>
    </cacheHierarchy>
    <cacheHierarchy uniqueName="[Measures].[Average of total_amount]" caption="Average of total_amount" measure="1" displayFolder="" measureGroup="Sales__tbl" count="0" hidden="1">
      <extLst>
        <ext xmlns:x15="http://schemas.microsoft.com/office/spreadsheetml/2010/11/main" uri="{B97F6D7D-B522-45F9-BDA1-12C45D357490}">
          <x15:cacheHierarchy aggregatedColumn="24"/>
        </ext>
      </extLst>
    </cacheHierarchy>
    <cacheHierarchy uniqueName="[Measures].[Count of Month]" caption="Count of Month" measure="1" displayFolder="" measureGroup="Sales__tbl" count="0" hidden="1">
      <extLst>
        <ext xmlns:x15="http://schemas.microsoft.com/office/spreadsheetml/2010/11/main" uri="{B97F6D7D-B522-45F9-BDA1-12C45D357490}">
          <x15:cacheHierarchy aggregatedColumn="14"/>
        </ext>
      </extLst>
    </cacheHierarchy>
    <cacheHierarchy uniqueName="[Measures].[Count of date (Month)]" caption="Count of date (Month)" measure="1" displayFolder="" measureGroup="Sales__tbl" count="0" hidden="1">
      <extLst>
        <ext xmlns:x15="http://schemas.microsoft.com/office/spreadsheetml/2010/11/main" uri="{B97F6D7D-B522-45F9-BDA1-12C45D357490}">
          <x15:cacheHierarchy aggregatedColumn="27"/>
        </ext>
      </extLst>
    </cacheHierarchy>
    <cacheHierarchy uniqueName="[Measures].[Distinct Count of date (Month)]" caption="Distinct Count of date (Month)" measure="1" displayFolder="" measureGroup="Sales__tbl" count="0" hidden="1">
      <extLst>
        <ext xmlns:x15="http://schemas.microsoft.com/office/spreadsheetml/2010/11/main" uri="{B97F6D7D-B522-45F9-BDA1-12C45D357490}">
          <x15:cacheHierarchy aggregatedColumn="27"/>
        </ext>
      </extLst>
    </cacheHierarchy>
    <cacheHierarchy uniqueName="[Measures].[Count of date (Year)]" caption="Count of date (Year)" measure="1" displayFolder="" measureGroup="Sales__tbl" count="0" hidden="1">
      <extLst>
        <ext xmlns:x15="http://schemas.microsoft.com/office/spreadsheetml/2010/11/main" uri="{B97F6D7D-B522-45F9-BDA1-12C45D357490}">
          <x15:cacheHierarchy aggregatedColumn="25"/>
        </ext>
      </extLst>
    </cacheHierarchy>
    <cacheHierarchy uniqueName="[Measures].[Distinct Count of date (Year)]" caption="Distinct Count of date (Year)" measure="1" displayFolder="" measureGroup="Sales__tbl"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_tbl"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__tbl" count="0" hidden="1">
      <extLst>
        <ext xmlns:x15="http://schemas.microsoft.com/office/spreadsheetml/2010/11/main" uri="{B97F6D7D-B522-45F9-BDA1-12C45D357490}">
          <x15:cacheHierarchy aggregatedColumn="22"/>
        </ext>
      </extLst>
    </cacheHierarchy>
    <cacheHierarchy uniqueName="[Measures].[Sum of Discount_amount]" caption="Sum of Discount_amount" measure="1" displayFolder="" measureGroup="Sales__tbl"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__tbl" count="0" hidden="1">
      <extLst>
        <ext xmlns:x15="http://schemas.microsoft.com/office/spreadsheetml/2010/11/main" uri="{B97F6D7D-B522-45F9-BDA1-12C45D357490}">
          <x15:cacheHierarchy aggregatedColumn="17"/>
        </ext>
      </extLst>
    </cacheHierarchy>
  </cacheHierarchies>
  <kpis count="0"/>
  <dimensions count="4">
    <dimension name="customer_tbl" uniqueName="[customer_tbl]" caption="customer_tbl"/>
    <dimension measure="1" name="Measures" uniqueName="[Measures]" caption="Measures"/>
    <dimension name="product_tbl" uniqueName="[product_tbl]" caption="product_tbl"/>
    <dimension name="Sales__tbl" uniqueName="[Sales__tbl]" caption="Sales__tbl"/>
  </dimensions>
  <measureGroups count="3">
    <measureGroup name="customer_tbl" caption="customer_tbl"/>
    <measureGroup name="product_tbl" caption="product_tbl"/>
    <measureGroup name="Sales__tbl" caption="Sales__tbl"/>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licerData="1" pivotCacheId="13261973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0F9DC-57AF-4E65-8BD1-972F5ECA4DAB}" name="PivotTable10" cacheId="738" applyNumberFormats="0" applyBorderFormats="0" applyFontFormats="0" applyPatternFormats="0" applyAlignmentFormats="0" applyWidthHeightFormats="1" dataCaption="Values" tag="8dd42d1e-21b1-457d-b0a6-b7f74cc14a06" updatedVersion="7" minRefreshableVersion="3" useAutoFormatting="1" itemPrintTitles="1" createdVersion="7" indent="0" outline="1" outlineData="1" multipleFieldFilters="0" chartFormat="3">
  <location ref="E20:F33"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v="2"/>
    </i>
    <i>
      <x v="8"/>
    </i>
    <i>
      <x v="3"/>
    </i>
    <i>
      <x v="4"/>
    </i>
    <i>
      <x/>
    </i>
    <i>
      <x v="5"/>
    </i>
    <i>
      <x v="11"/>
    </i>
    <i>
      <x v="9"/>
    </i>
    <i>
      <x v="6"/>
    </i>
    <i>
      <x v="10"/>
    </i>
    <i>
      <x v="7"/>
    </i>
    <i t="grand">
      <x/>
    </i>
  </rowItems>
  <colItems count="1">
    <i/>
  </colItems>
  <dataFields count="1">
    <dataField name="Sum of total_amount" fld="1" baseField="0" baseItem="0" numFmtId="164"/>
  </dataFields>
  <formats count="1">
    <format dxfId="6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_tbl]"/>
        <x15:activeTabTopLevelEntity name="[customer_tbl]"/>
        <x15:activeTabTopLevelEntity name="[product_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FD1F22-04F5-4864-A2D9-127164CE8EF5}" name="PivotTable9" cacheId="750" applyNumberFormats="0" applyBorderFormats="0" applyFontFormats="0" applyPatternFormats="0" applyAlignmentFormats="0" applyWidthHeightFormats="1" dataCaption="Values" tag="fa83a356-6abf-4ff9-8b61-fdfd83c85572" updatedVersion="7" minRefreshableVersion="3" useAutoFormatting="1" subtotalHiddenItems="1" itemPrintTitles="1" createdVersion="7" indent="0" outline="1" outlineData="1" multipleFieldFilters="0" chartFormat="3">
  <location ref="A11:B2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amount" fld="1" baseField="0" baseItem="0" numFmtId="164"/>
  </dataFields>
  <formats count="1">
    <format dxfId="641">
      <pivotArea outline="0" collapsedLevelsAreSubtotals="1" fieldPosition="0">
        <references count="1">
          <reference field="4294967294" count="1" selected="0">
            <x v="0"/>
          </reference>
        </references>
      </pivotArea>
    </format>
  </formats>
  <chartFormats count="1">
    <chartFormat chart="2" format="5"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_tbl]"/>
        <x15:activeTabTopLevelEntity name="[customer_tbl]"/>
        <x15:activeTabTopLevelEntity name="[product_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C19E0-63DC-4AFC-A656-DB5FD1DF8F9E}" name="PivotTable8" cacheId="747" applyNumberFormats="0" applyBorderFormats="0" applyFontFormats="0" applyPatternFormats="0" applyAlignmentFormats="0" applyWidthHeightFormats="1" dataCaption="Values" tag="cd9e22df-9bd4-44cc-8b6e-8948b2da56ea" updatedVersion="7" minRefreshableVersion="3" useAutoFormatting="1" subtotalHiddenItems="1" itemPrintTitles="1" createdVersion="7" indent="0" outline="1" outlineData="1" multipleFieldFilters="0" chartFormat="1">
  <location ref="A1:D6"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um of total_amount" fld="1" baseField="0" baseItem="0" numFmtId="164"/>
    <dataField name="Sum of profitperSales" fld="2" baseField="0" baseItem="0"/>
    <dataField name="Sum of Discount_amount" fld="3" baseField="0" baseItem="0"/>
  </dataFields>
  <formats count="7">
    <format dxfId="648">
      <pivotArea dataOnly="0" outline="0" fieldPosition="0">
        <references count="1">
          <reference field="4294967294" count="1">
            <x v="1"/>
          </reference>
        </references>
      </pivotArea>
    </format>
    <format dxfId="647">
      <pivotArea outline="0" collapsedLevelsAreSubtotals="1" fieldPosition="0">
        <references count="1">
          <reference field="4294967294" count="1" selected="0">
            <x v="0"/>
          </reference>
        </references>
      </pivotArea>
    </format>
    <format dxfId="646">
      <pivotArea dataOnly="0" labelOnly="1" outline="0" fieldPosition="0">
        <references count="1">
          <reference field="4294967294" count="1">
            <x v="0"/>
          </reference>
        </references>
      </pivotArea>
    </format>
    <format dxfId="645">
      <pivotArea field="0" type="button" dataOnly="0" labelOnly="1" outline="0" axis="axisRow" fieldPosition="0"/>
    </format>
    <format dxfId="644">
      <pivotArea dataOnly="0" labelOnly="1" fieldPosition="0">
        <references count="1">
          <reference field="0" count="0"/>
        </references>
      </pivotArea>
    </format>
    <format dxfId="643">
      <pivotArea dataOnly="0" labelOnly="1" grandRow="1" outline="0" fieldPosition="0"/>
    </format>
    <format dxfId="642">
      <pivotArea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5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 Sales Performance &amp; Customer Insights Systems.xlsx!Sales__2">
        <x15:activeTabTopLevelEntity name="[Sales__tbl]"/>
        <x15:activeTabTopLevelEntity name="[customer_tbl]"/>
        <x15:activeTabTopLevelEntity name="[product_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93CF11-66A8-4767-9413-B13AA945F836}" name="PivotTable13" cacheId="675" applyNumberFormats="0" applyBorderFormats="0" applyFontFormats="0" applyPatternFormats="0" applyAlignmentFormats="0" applyWidthHeightFormats="1" dataCaption="Values" tag="71974bcb-2b4b-4f5f-9be6-303c5ffd9664" updatedVersion="7" minRefreshableVersion="3" useAutoFormatting="1" subtotalHiddenItems="1" itemPrintTitles="1" createdVersion="7" indent="0" outline="1" outlineData="1" multipleFieldFilters="0" chartFormat="3">
  <location ref="H12:K16"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4">
    <i>
      <x/>
    </i>
    <i>
      <x v="1"/>
    </i>
    <i>
      <x v="2"/>
    </i>
    <i t="grand">
      <x/>
    </i>
  </rowItems>
  <colFields count="1">
    <field x="-2"/>
  </colFields>
  <colItems count="3">
    <i>
      <x/>
    </i>
    <i i="1">
      <x v="1"/>
    </i>
    <i i="2">
      <x v="2"/>
    </i>
  </colItems>
  <dataFields count="3">
    <dataField name="Sum of total_amount" fld="0" baseField="0" baseItem="0" numFmtId="164"/>
    <dataField name="Sum of profitperSales" fld="2" baseField="0" baseItem="0" numFmtId="164"/>
    <dataField name="Sum of Discount_amount" fld="3" baseField="0" baseItem="0"/>
  </dataFields>
  <formats count="3">
    <format dxfId="651">
      <pivotArea outline="0" collapsedLevelsAreSubtotals="1" fieldPosition="0">
        <references count="1">
          <reference field="4294967294" count="1" selected="0">
            <x v="0"/>
          </reference>
        </references>
      </pivotArea>
    </format>
    <format dxfId="650">
      <pivotArea outline="0" collapsedLevelsAreSubtotals="1" fieldPosition="0">
        <references count="1">
          <reference field="4294967294" count="1" selected="0">
            <x v="1"/>
          </reference>
        </references>
      </pivotArea>
    </format>
    <format dxfId="649">
      <pivotArea dataOnly="0" labelOnly="1" outline="0" fieldPosition="0">
        <references count="1">
          <reference field="4294967294" count="1">
            <x v="1"/>
          </reference>
        </references>
      </pivotArea>
    </format>
  </formats>
  <chartFormats count="1">
    <chartFormat chart="2" format="5"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_tbl]"/>
        <x15:activeTabTopLevelEntity name="[customer_tbl]"/>
        <x15:activeTabTopLevelEntity name="[product_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29890-C17E-4AE0-BFB8-D5F1A8C1D601}" name="PivotTable12" cacheId="744" applyNumberFormats="0" applyBorderFormats="0" applyFontFormats="0" applyPatternFormats="0" applyAlignmentFormats="0" applyWidthHeightFormats="1" dataCaption="Values" tag="41d20d7b-d134-4f43-980c-9f473fe64a15" updatedVersion="7" minRefreshableVersion="3" useAutoFormatting="1" itemPrintTitles="1" createdVersion="7" indent="0" outline="1" outlineData="1" multipleFieldFilters="0" chartFormat="1">
  <location ref="E36:G41"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3"/>
    </i>
    <i>
      <x v="1"/>
    </i>
    <i>
      <x v="2"/>
    </i>
    <i t="grand">
      <x/>
    </i>
  </rowItems>
  <colFields count="1">
    <field x="-2"/>
  </colFields>
  <colItems count="2">
    <i>
      <x/>
    </i>
    <i i="1">
      <x v="1"/>
    </i>
  </colItems>
  <dataFields count="2">
    <dataField name="Count of customer_id" fld="2" subtotal="count" showDataAs="percentOfTotal" baseField="0" baseItem="0" numFmtId="10"/>
    <dataField name="Sum of total_amount" fld="1" baseField="0" baseItem="0" numFmtId="164"/>
  </dataFields>
  <formats count="2">
    <format dxfId="653">
      <pivotArea outline="0" collapsedLevelsAreSubtotals="1" fieldPosition="0">
        <references count="1">
          <reference field="4294967294" count="1" selected="0">
            <x v="1"/>
          </reference>
        </references>
      </pivotArea>
    </format>
    <format dxfId="65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_tbl]"/>
        <x15:activeTabTopLevelEntity name="[customer_tbl]"/>
        <x15:activeTabTopLevelEntity name="[product_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A0D498-1D6B-4DEA-ACE8-50F24C38C5CA}" name="PivotTable11" cacheId="741" applyNumberFormats="0" applyBorderFormats="0" applyFontFormats="0" applyPatternFormats="0" applyAlignmentFormats="0" applyWidthHeightFormats="1" dataCaption="Values" tag="b55e06f1-97c9-492b-94bc-2919bb57b1eb" updatedVersion="7" minRefreshableVersion="3" useAutoFormatting="1" itemPrintTitles="1" createdVersion="7" indent="0" outline="1" outlineData="1" multipleFieldFilters="0" chartFormat="3">
  <location ref="A29:B4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total_amount" fld="1" subtotal="average" baseField="0" baseItem="0" numFmtId="164"/>
  </dataFields>
  <formats count="1">
    <format dxfId="65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_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 Sales Performance &amp; Customer Insights Systems.xlsx!Sales__2">
        <x15:activeTabTopLevelEntity name="[Sales__tbl]"/>
        <x15:activeTabTopLevelEntity name="[customer_tbl]"/>
        <x15:activeTabTopLevelEntity name="[product_tb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83CBB59B-5B64-4CA3-BF8C-C4659A5B3AAA}" autoFormatId="16" applyNumberFormats="0" applyBorderFormats="0" applyFontFormats="0" applyPatternFormats="0" applyAlignmentFormats="0" applyWidthHeightFormats="0">
  <queryTableRefresh nextId="10">
    <queryTableFields count="9">
      <queryTableField id="1" name="sale_id" tableColumnId="1"/>
      <queryTableField id="2" name="date" tableColumnId="2"/>
      <queryTableField id="3" name="branch_id" tableColumnId="3"/>
      <queryTableField id="4" name="customer_id" tableColumnId="4"/>
      <queryTableField id="5" name="product_id" tableColumnId="5"/>
      <queryTableField id="6" name="quantity" tableColumnId="6"/>
      <queryTableField id="7" name="price" tableColumnId="7"/>
      <queryTableField id="8" name="discount" tableColumnId="8"/>
      <queryTableField id="9" name="total_amoun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0D2AE48C-1533-4FB1-A871-9B23AABFC59F}" autoFormatId="16" applyNumberFormats="0" applyBorderFormats="0" applyFontFormats="0" applyPatternFormats="0" applyAlignmentFormats="0" applyWidthHeightFormats="0">
  <queryTableRefresh nextId="6">
    <queryTableFields count="5">
      <queryTableField id="1" name="product_id" tableColumnId="1"/>
      <queryTableField id="2" name="category" tableColumnId="2"/>
      <queryTableField id="3" name="product_name" tableColumnId="3"/>
      <queryTableField id="4" name="cost_price" tableColumnId="4"/>
      <queryTableField id="5" name="selling_pric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3F1A4FA-FA59-46A4-9FD5-A7BD10A84968}" sourceName="[Sales__tbl].[date (Year)]">
  <pivotTables>
    <pivotTable tabId="16" name="PivotTable10"/>
    <pivotTable tabId="16" name="PivotTable11"/>
    <pivotTable tabId="16" name="PivotTable12"/>
    <pivotTable tabId="16" name="PivotTable8"/>
    <pivotTable tabId="16" name="PivotTable9"/>
  </pivotTables>
  <data>
    <olap pivotCacheId="1326197300">
      <levels count="2">
        <level uniqueName="[Sales__tbl].[date (Year)].[(All)]" sourceCaption="(All)" count="0"/>
        <level uniqueName="[Sales__tbl].[date (Year)].[date (Year)]" sourceCaption="date (Year)" count="3">
          <ranges>
            <range startItem="0">
              <i n="[Sales__tbl].[date (Year)].&amp;[2023]" c="2023"/>
              <i n="[Sales__tbl].[date (Year)].&amp;[2024]" c="2024"/>
              <i n="[Sales__tbl].[date (Year)].&amp;[2025]" c="2025"/>
            </range>
          </ranges>
        </level>
      </levels>
      <selections count="1">
        <selection n="[Sales__tbl].[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FFB985-E08E-4F33-A9B7-8FDF5F82DA72}" sourceName="[customer_tbl].[region]">
  <pivotTables>
    <pivotTable tabId="16" name="PivotTable10"/>
    <pivotTable tabId="16" name="PivotTable11"/>
    <pivotTable tabId="16" name="PivotTable12"/>
    <pivotTable tabId="16" name="PivotTable13"/>
    <pivotTable tabId="16" name="PivotTable8"/>
    <pivotTable tabId="16" name="PivotTable9"/>
  </pivotTables>
  <data>
    <olap pivotCacheId="1326197300">
      <levels count="2">
        <level uniqueName="[customer_tbl].[region].[(All)]" sourceCaption="(All)" count="0"/>
        <level uniqueName="[customer_tbl].[region].[region]" sourceCaption="region" count="5">
          <ranges>
            <range startItem="0">
              <i n="[customer_tbl].[region].&amp;[Central]" c="Central"/>
              <i n="[customer_tbl].[region].&amp;[East]" c="East"/>
              <i n="[customer_tbl].[region].&amp;[North]" c="North"/>
              <i n="[customer_tbl].[region].&amp;[South]" c="South"/>
              <i n="[customer_tbl].[region].&amp;[West]" c="West"/>
            </range>
          </ranges>
        </level>
      </levels>
      <selections count="1">
        <selection n="[customer_tbl].[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status" xr10:uid="{AC4BBB4C-B534-48DF-8B22-41496CCFBA91}" sourceName="[customer_tbl].[loyalty_status]">
  <pivotTables>
    <pivotTable tabId="16" name="PivotTable10"/>
    <pivotTable tabId="16" name="PivotTable11"/>
    <pivotTable tabId="16" name="PivotTable12"/>
    <pivotTable tabId="16" name="PivotTable13"/>
    <pivotTable tabId="16" name="PivotTable8"/>
    <pivotTable tabId="16" name="PivotTable9"/>
  </pivotTables>
  <data>
    <olap pivotCacheId="1326197300">
      <levels count="2">
        <level uniqueName="[customer_tbl].[loyalty_status].[(All)]" sourceCaption="(All)" count="0"/>
        <level uniqueName="[customer_tbl].[loyalty_status].[loyalty_status]" sourceCaption="loyalty_status" count="4">
          <ranges>
            <range startItem="0">
              <i n="[customer_tbl].[loyalty_status].&amp;[Bronze]" c="Bronze"/>
              <i n="[customer_tbl].[loyalty_status].&amp;[Gold]" c="Gold"/>
              <i n="[customer_tbl].[loyalty_status].&amp;[Platinum]" c="Platinum"/>
              <i n="[customer_tbl].[loyalty_status].&amp;[Silver]" c="Silver"/>
            </range>
          </ranges>
        </level>
      </levels>
      <selections count="1">
        <selection n="[customer_tbl].[loyalty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07811863-6DF1-44F9-B24C-AF07D8246161}" cache="Slicer_date__Year" caption="date (Year)" columnCount="3" level="1" style="SlicerStyleLight4" rowHeight="241300"/>
  <slicer name="region" xr10:uid="{6D642CF6-721D-4D25-B2BE-D81A25BE6993}" cache="Slicer_region" caption="region" columnCount="3" level="1" style="SlicerStyleLight4" rowHeight="241300"/>
  <slicer name="loyalty_status" xr10:uid="{1DA3116F-9CBB-4279-920C-765C0E3863DC}" cache="Slicer_loyalty_status" caption="loyalty_status" columnCount="2" level="1" style="SlicerStyleLight4"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3F9662-C0E2-43A9-9254-1E9917DCE612}" name="Table3" displayName="Table3" ref="A1:I501" totalsRowShown="0" headerRowDxfId="663" headerRowBorderDxfId="662" tableBorderDxfId="661">
  <autoFilter ref="A1:I501" xr:uid="{A23F9662-C0E2-43A9-9254-1E9917DCE612}"/>
  <tableColumns count="9">
    <tableColumn id="1" xr3:uid="{9ECBE3BB-F885-4BA5-82AC-4B983E535E94}" name="sale_id"/>
    <tableColumn id="2" xr3:uid="{0D7C13A7-7F83-478B-ADA9-9E1C3D8F840A}" name="date"/>
    <tableColumn id="3" xr3:uid="{F7ED263C-A05E-4088-AF16-CC1BCB3E99D5}" name="branch_id"/>
    <tableColumn id="4" xr3:uid="{E67FCD6D-B377-45BC-A66D-3934279BBBDD}" name="customer_id"/>
    <tableColumn id="5" xr3:uid="{6469FAA3-FE59-4BEC-AA30-8012B40821B8}" name="product_id"/>
    <tableColumn id="6" xr3:uid="{CD08A613-79C7-4AAE-AB41-F7BF31AEBE5B}" name="quantity"/>
    <tableColumn id="7" xr3:uid="{0779B263-15DB-4AAB-842A-8830F4876B60}" name="price"/>
    <tableColumn id="8" xr3:uid="{CDF21657-AAE5-4317-813E-A4A7C60CBC24}" name="discount" dataCellStyle="Currency"/>
    <tableColumn id="9" xr3:uid="{A7644E5B-6D12-4DEE-8C40-24AAEA056988}" name="total_amount" dataCellStyle="Currenc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A75D76-4F5A-4713-AAD9-6E5BDF7AF9FF}" name="Table7" displayName="Table7" ref="A1:F221" totalsRowShown="0" headerRowDxfId="660" headerRowBorderDxfId="659" tableBorderDxfId="658">
  <autoFilter ref="A1:F221" xr:uid="{16A75D76-4F5A-4713-AAD9-6E5BDF7AF9FF}"/>
  <tableColumns count="6">
    <tableColumn id="1" xr3:uid="{34017E91-66DF-4D4C-83B2-D15A536AFB73}" name="customer_id"/>
    <tableColumn id="2" xr3:uid="{8862CDC2-22DC-4508-96F6-FD025ADA54D1}" name="name"/>
    <tableColumn id="3" xr3:uid="{43D4933B-9170-4030-BF0B-111CFAC06F65}" name="gender"/>
    <tableColumn id="4" xr3:uid="{3D4C725A-FA74-49F1-9100-BF804BEFA783}" name="region"/>
    <tableColumn id="5" xr3:uid="{96D16054-064E-41BE-8F63-979D2BAF90A9}" name="signup_date"/>
    <tableColumn id="6" xr3:uid="{12C7C9ED-5DBA-4DE4-946A-C587E62FB4AC}" name="loyalty_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CE5487-A898-472E-85E7-B725FB49954D}" name="Sales" displayName="Sales" ref="A1:I801" tableType="queryTable" totalsRowShown="0">
  <autoFilter ref="A1:I801" xr:uid="{B2CE5487-A898-472E-85E7-B725FB49954D}"/>
  <tableColumns count="9">
    <tableColumn id="1" xr3:uid="{BFE482F1-7A54-48BE-A836-2BB91D96A76F}" uniqueName="1" name="sale_id" queryTableFieldId="1"/>
    <tableColumn id="2" xr3:uid="{36B328B6-0E10-405E-B5C4-02EB55077ECA}" uniqueName="2" name="date" queryTableFieldId="2" dataDxfId="657"/>
    <tableColumn id="3" xr3:uid="{80140ED3-B15B-4186-ADBB-9503569B8D9A}" uniqueName="3" name="branch_id" queryTableFieldId="3"/>
    <tableColumn id="4" xr3:uid="{639A00BA-470F-431F-B872-6B69D46354B3}" uniqueName="4" name="customer_id" queryTableFieldId="4"/>
    <tableColumn id="5" xr3:uid="{A7CBEB68-C1C7-4FD7-821E-5BF16D2AB9DE}" uniqueName="5" name="product_id" queryTableFieldId="5"/>
    <tableColumn id="6" xr3:uid="{CAEFE684-0B67-4B62-BEDF-8ACC98DF82F6}" uniqueName="6" name="quantity" queryTableFieldId="6"/>
    <tableColumn id="7" xr3:uid="{C1768E05-E88D-45A7-9803-4E4E9D15BFFD}" uniqueName="7" name="price" queryTableFieldId="7"/>
    <tableColumn id="8" xr3:uid="{D1767F65-35BA-4618-8AF2-85A531792364}" uniqueName="8" name="discount" queryTableFieldId="8"/>
    <tableColumn id="9" xr3:uid="{E1D59051-E1EF-4949-AFF5-0E321007E532}" uniqueName="9" name="total_amount"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8A882F-1646-4F9E-A5D0-A2DA8909BBDA}" name="Products" displayName="Products" ref="A1:E101" tableType="queryTable" totalsRowShown="0">
  <autoFilter ref="A1:E101" xr:uid="{058A882F-1646-4F9E-A5D0-A2DA8909BBDA}"/>
  <tableColumns count="5">
    <tableColumn id="1" xr3:uid="{666AD6E8-6226-4979-924F-85A661462AE7}" uniqueName="1" name="product_id" queryTableFieldId="1"/>
    <tableColumn id="2" xr3:uid="{22120AB8-5EC1-4CBE-9055-3A2292B07320}" uniqueName="2" name="category" queryTableFieldId="2" dataDxfId="656"/>
    <tableColumn id="3" xr3:uid="{AE9969A2-D0EF-4D3E-BFE0-BA87B356190F}" uniqueName="3" name="product_name" queryTableFieldId="3" dataDxfId="655"/>
    <tableColumn id="4" xr3:uid="{225BD0C0-3B7F-4BA4-9C13-6C4BA6985DE2}" uniqueName="4" name="cost_price" queryTableFieldId="4"/>
    <tableColumn id="5" xr3:uid="{DC120DF7-6DBA-467D-9BE3-9F7611399F89}" uniqueName="5" name="selling_price"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FAD351-7C76-4848-AA0E-C2F16288C675}" name="Sales__tbl" displayName="Sales__tbl" ref="A1:N802" totalsRowCount="1">
  <autoFilter ref="A1:N801" xr:uid="{58FAD351-7C76-4848-AA0E-C2F16288C675}"/>
  <tableColumns count="14">
    <tableColumn id="1" xr3:uid="{3405A4A1-A59B-4965-8447-2A131E59417C}" name="sale_id"/>
    <tableColumn id="10" xr3:uid="{4AFF6250-D68E-43C1-95AA-41AB0DE79DAB}" name="Month" dataDxfId="639">
      <calculatedColumnFormula>TEXT(Sales__tbl[[#This Row],[date]],"MM")</calculatedColumnFormula>
    </tableColumn>
    <tableColumn id="2" xr3:uid="{C9CE8E99-6BA5-4414-93BA-F5A8B81AB874}" name="date" dataDxfId="638" totalsRowDxfId="637"/>
    <tableColumn id="3" xr3:uid="{0F9F994F-C37C-4EEB-BBED-031BE0EC55A6}" name="branch_id">
      <calculatedColumnFormula>_xlfn.XLOOKUP(Sales__tbl[[#This Row],[customer_id]],customer_tbl[customer_id],customer_tbl[Branch_id],"Not found")</calculatedColumnFormula>
    </tableColumn>
    <tableColumn id="4" xr3:uid="{C44A3695-B519-46FD-A66A-893FB752D4C9}" name="customer_id"/>
    <tableColumn id="5" xr3:uid="{88C41951-767F-4020-816E-4D844BA7807B}" name="product_id" dataDxfId="636"/>
    <tableColumn id="16" xr3:uid="{87FA7FEF-8839-49AC-941C-3E70EE8C5A41}" name="Product_category"/>
    <tableColumn id="6" xr3:uid="{0A602541-A47E-4DF1-A7BC-FB8C13092830}" name="quantity" totalsRowFunction="custom">
      <totalsRowFormula>SUM(Sales__tbl[quantity])</totalsRowFormula>
    </tableColumn>
    <tableColumn id="7" xr3:uid="{E65821E4-94CD-4671-9A0B-D6E8C6926277}" name="selling_price" totalsRowFunction="custom">
      <totalsRowFormula>SUM(I2:I801)</totalsRowFormula>
    </tableColumn>
    <tableColumn id="8" xr3:uid="{E14F0457-749A-4430-9E7D-C54EFEFD6845}" name="discount" totalsRowFunction="custom" dataDxfId="635">
      <totalsRowFormula>AVERAGE(J2:J801)</totalsRowFormula>
    </tableColumn>
    <tableColumn id="11" xr3:uid="{2B2957AE-8228-4195-9834-9E2FE99F4F03}" name="Discount_amount" totalsRowFunction="custom" dataDxfId="634" totalsRowDxfId="633">
      <totalsRowFormula>SUM(K2:K801)</totalsRowFormula>
    </tableColumn>
    <tableColumn id="9" xr3:uid="{1311A4E2-7FF1-455D-B855-7A83668D2890}" name="total_amount" totalsRowFunction="custom" dataDxfId="632" totalsRowDxfId="631">
      <totalsRowFormula>SUM(L2:L801)</totalsRowFormula>
    </tableColumn>
    <tableColumn id="17" xr3:uid="{D341C91D-5BB9-48D0-AD9E-623DE037DA08}" name="profitperSales" dataDxfId="630"/>
    <tableColumn id="19" xr3:uid="{10261996-6F55-4583-832C-5A3772B9510B}" name="product_key" dataDxfId="629">
      <calculatedColumnFormula>"P. "&amp;(Sales__tbl[[#This Row],[product_id]]&amp;"."&amp;TEXT(Sales__tbl[[#This Row],[selling_price]],"0.00"))</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B1FE80-EC2A-41CC-9B52-5E55EEC0740C}" name="product_tbl" displayName="product_tbl" ref="A1:F91" totalsRowShown="0" headerRowDxfId="628" headerRowBorderDxfId="627" tableBorderDxfId="626">
  <autoFilter ref="A1:F91" xr:uid="{BCB1FE80-EC2A-41CC-9B52-5E55EEC0740C}"/>
  <tableColumns count="6">
    <tableColumn id="1" xr3:uid="{4DFE0CCF-5305-4DDB-AE83-E4BED98AD9CB}" name="product_id" dataDxfId="625"/>
    <tableColumn id="2" xr3:uid="{A976EE2F-FA7F-4998-9798-B4FC9F726210}" name="category" dataDxfId="624"/>
    <tableColumn id="4" xr3:uid="{E922D35F-3738-414E-85BE-ABF6186F8BDC}" name="cost_price" dataDxfId="623"/>
    <tableColumn id="5" xr3:uid="{D3BE62BE-B84F-4F22-9551-09EDCA864DBF}" name="selling_price" dataDxfId="622"/>
    <tableColumn id="6" xr3:uid="{45FE795B-ECCE-4328-9AFE-3679A9DDF924}" name="profit_per_sale" dataDxfId="621">
      <calculatedColumnFormula>product_tbl[[#This Row],[selling_price]]-product_tbl[[#This Row],[cost_price]]</calculatedColumnFormula>
    </tableColumn>
    <tableColumn id="9" xr3:uid="{E7EFAB76-4D7F-4239-8743-9C60E7471818}" name="product_key" dataDxfId="620">
      <calculatedColumnFormula>"P."&amp;(product_tbl[[#This Row],[product_id]]&amp;"."&amp;TEXT(product_tbl[[#This Row],[selling_price]],"0.00"))</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AE577-3A84-49ED-91FA-C7E8AD3BD498}" name="customer_tbl" displayName="customer_tbl" ref="A1:F221" totalsRowShown="0">
  <autoFilter ref="A1:F221" xr:uid="{2ADAE577-3A84-49ED-91FA-C7E8AD3BD498}"/>
  <sortState xmlns:xlrd2="http://schemas.microsoft.com/office/spreadsheetml/2017/richdata2" ref="A2:F221">
    <sortCondition ref="A1:A221"/>
  </sortState>
  <tableColumns count="6">
    <tableColumn id="1" xr3:uid="{E4169A3C-BDCD-4CE1-9ABF-65DC760AFC4F}" name="customer_id" dataDxfId="619">
      <calculatedColumnFormula>"customer"&amp;ROW(A1)</calculatedColumnFormula>
    </tableColumn>
    <tableColumn id="2" xr3:uid="{7B7E81D7-D134-4835-B133-D01EDE8EE23A}" name="gender"/>
    <tableColumn id="3" xr3:uid="{08B2C308-8B30-41F5-B262-8D8377681529}" name="region"/>
    <tableColumn id="4" xr3:uid="{7E316A79-E072-441D-93E6-D9AABF477087}" name="signup_date" dataDxfId="618"/>
    <tableColumn id="5" xr3:uid="{FCE13D63-FBB2-4282-9C00-ED98EB540D8C}" name="loyalty_status"/>
    <tableColumn id="6" xr3:uid="{773FC3E4-8F8B-4C17-9406-1D7C42CA1F6A}" name="Branch_id"/>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01"/>
  <sheetViews>
    <sheetView topLeftCell="B1" workbookViewId="0"/>
  </sheetViews>
  <sheetFormatPr defaultRowHeight="15" x14ac:dyDescent="0.25"/>
  <cols>
    <col min="1" max="1" width="11.28515625" bestFit="1" customWidth="1"/>
    <col min="2" max="2" width="10.28515625" bestFit="1" customWidth="1"/>
    <col min="3" max="3" width="13.85546875" bestFit="1" customWidth="1"/>
    <col min="4" max="4" width="15.85546875" bestFit="1" customWidth="1"/>
    <col min="5" max="5" width="14.7109375" bestFit="1" customWidth="1"/>
    <col min="6" max="6" width="12.5703125" bestFit="1" customWidth="1"/>
    <col min="7" max="7" width="9.5703125" bestFit="1" customWidth="1"/>
    <col min="8" max="8" width="12.7109375" style="8" bestFit="1" customWidth="1"/>
    <col min="9" max="9" width="17" style="8" bestFit="1" customWidth="1"/>
  </cols>
  <sheetData>
    <row r="1" spans="1:9" x14ac:dyDescent="0.25">
      <c r="A1" s="1" t="s">
        <v>0</v>
      </c>
      <c r="B1" s="1" t="s">
        <v>1</v>
      </c>
      <c r="C1" s="1" t="s">
        <v>2</v>
      </c>
      <c r="D1" s="1" t="s">
        <v>3</v>
      </c>
      <c r="E1" s="1" t="s">
        <v>4</v>
      </c>
      <c r="F1" s="1" t="s">
        <v>5</v>
      </c>
      <c r="G1" s="1" t="s">
        <v>6</v>
      </c>
      <c r="H1" s="7" t="s">
        <v>7</v>
      </c>
      <c r="I1" s="7" t="s">
        <v>8</v>
      </c>
    </row>
    <row r="2" spans="1:9" x14ac:dyDescent="0.25">
      <c r="A2">
        <v>1</v>
      </c>
      <c r="B2" t="s">
        <v>9</v>
      </c>
      <c r="C2">
        <v>5</v>
      </c>
      <c r="D2">
        <v>189</v>
      </c>
      <c r="E2">
        <v>97</v>
      </c>
      <c r="F2">
        <v>2</v>
      </c>
      <c r="G2">
        <v>158.26</v>
      </c>
      <c r="H2" s="8">
        <v>0</v>
      </c>
      <c r="I2" s="8">
        <v>316.52</v>
      </c>
    </row>
    <row r="3" spans="1:9" x14ac:dyDescent="0.25">
      <c r="A3">
        <v>2</v>
      </c>
      <c r="B3" t="s">
        <v>10</v>
      </c>
      <c r="C3">
        <v>3</v>
      </c>
      <c r="D3">
        <v>152</v>
      </c>
      <c r="E3">
        <v>24</v>
      </c>
      <c r="F3">
        <v>1</v>
      </c>
      <c r="G3">
        <v>91.73</v>
      </c>
      <c r="H3" s="8">
        <v>0.05</v>
      </c>
      <c r="I3" s="8">
        <v>87.14</v>
      </c>
    </row>
    <row r="4" spans="1:9" x14ac:dyDescent="0.25">
      <c r="A4">
        <v>3</v>
      </c>
      <c r="B4" t="s">
        <v>11</v>
      </c>
      <c r="C4">
        <v>8</v>
      </c>
      <c r="D4">
        <v>77</v>
      </c>
      <c r="E4">
        <v>84</v>
      </c>
      <c r="F4">
        <v>1</v>
      </c>
      <c r="G4">
        <v>26.78</v>
      </c>
      <c r="H4" s="8">
        <v>0.1</v>
      </c>
      <c r="I4" s="8">
        <v>24.1</v>
      </c>
    </row>
    <row r="5" spans="1:9" x14ac:dyDescent="0.25">
      <c r="A5">
        <v>4</v>
      </c>
      <c r="B5" t="s">
        <v>12</v>
      </c>
      <c r="C5">
        <v>3</v>
      </c>
      <c r="D5">
        <v>123</v>
      </c>
      <c r="E5">
        <v>97</v>
      </c>
      <c r="F5">
        <v>5</v>
      </c>
      <c r="G5">
        <v>158.26</v>
      </c>
      <c r="H5" s="8">
        <v>0</v>
      </c>
      <c r="I5" s="8">
        <v>791.3</v>
      </c>
    </row>
    <row r="6" spans="1:9" x14ac:dyDescent="0.25">
      <c r="A6">
        <v>5</v>
      </c>
      <c r="B6" t="s">
        <v>13</v>
      </c>
      <c r="C6">
        <v>8</v>
      </c>
      <c r="D6">
        <v>106</v>
      </c>
      <c r="E6">
        <v>30</v>
      </c>
      <c r="F6">
        <v>3</v>
      </c>
      <c r="G6">
        <v>19.399999999999999</v>
      </c>
      <c r="H6" s="8">
        <v>0</v>
      </c>
      <c r="I6" s="8">
        <v>58.2</v>
      </c>
    </row>
    <row r="7" spans="1:9" x14ac:dyDescent="0.25">
      <c r="A7">
        <v>6</v>
      </c>
      <c r="B7" t="s">
        <v>14</v>
      </c>
      <c r="C7">
        <v>8</v>
      </c>
      <c r="D7">
        <v>64</v>
      </c>
      <c r="E7">
        <v>33</v>
      </c>
      <c r="F7">
        <v>1</v>
      </c>
      <c r="G7">
        <v>21.23</v>
      </c>
      <c r="H7" s="8">
        <v>0.05</v>
      </c>
      <c r="I7" s="8">
        <v>20.170000000000002</v>
      </c>
    </row>
    <row r="8" spans="1:9" x14ac:dyDescent="0.25">
      <c r="A8">
        <v>7</v>
      </c>
      <c r="B8" t="s">
        <v>15</v>
      </c>
      <c r="C8">
        <v>7</v>
      </c>
      <c r="D8">
        <v>22</v>
      </c>
      <c r="E8">
        <v>16</v>
      </c>
      <c r="F8">
        <v>1</v>
      </c>
      <c r="G8">
        <v>62.77</v>
      </c>
      <c r="H8" s="8">
        <v>0</v>
      </c>
      <c r="I8" s="8">
        <v>62.77</v>
      </c>
    </row>
    <row r="9" spans="1:9" x14ac:dyDescent="0.25">
      <c r="A9">
        <v>8</v>
      </c>
      <c r="B9" t="s">
        <v>16</v>
      </c>
      <c r="C9">
        <v>6</v>
      </c>
      <c r="D9">
        <v>89</v>
      </c>
      <c r="E9">
        <v>59</v>
      </c>
      <c r="F9">
        <v>1</v>
      </c>
      <c r="G9">
        <v>17.41</v>
      </c>
      <c r="H9" s="8">
        <v>0</v>
      </c>
      <c r="I9" s="8">
        <v>17.41</v>
      </c>
    </row>
    <row r="10" spans="1:9" x14ac:dyDescent="0.25">
      <c r="A10">
        <v>9</v>
      </c>
      <c r="B10" t="s">
        <v>17</v>
      </c>
      <c r="C10">
        <v>3</v>
      </c>
      <c r="D10">
        <v>50</v>
      </c>
      <c r="E10">
        <v>30</v>
      </c>
      <c r="F10">
        <v>1</v>
      </c>
      <c r="G10">
        <v>19.399999999999999</v>
      </c>
      <c r="H10" s="8">
        <v>0</v>
      </c>
      <c r="I10" s="8">
        <v>19.399999999999999</v>
      </c>
    </row>
    <row r="11" spans="1:9" x14ac:dyDescent="0.25">
      <c r="A11">
        <v>10</v>
      </c>
      <c r="B11" t="s">
        <v>18</v>
      </c>
      <c r="C11">
        <v>7</v>
      </c>
      <c r="D11">
        <v>207</v>
      </c>
      <c r="E11">
        <v>96</v>
      </c>
      <c r="F11">
        <v>1</v>
      </c>
      <c r="G11">
        <v>132.69</v>
      </c>
      <c r="H11" s="8">
        <v>0</v>
      </c>
      <c r="I11" s="8">
        <v>132.69</v>
      </c>
    </row>
    <row r="12" spans="1:9" x14ac:dyDescent="0.25">
      <c r="A12">
        <v>11</v>
      </c>
      <c r="B12" t="s">
        <v>19</v>
      </c>
      <c r="C12">
        <v>5</v>
      </c>
      <c r="D12">
        <v>80</v>
      </c>
      <c r="E12">
        <v>48</v>
      </c>
      <c r="F12">
        <v>1</v>
      </c>
      <c r="G12">
        <v>146.85</v>
      </c>
      <c r="H12" s="8">
        <v>0</v>
      </c>
      <c r="I12" s="8">
        <v>146.85</v>
      </c>
    </row>
    <row r="13" spans="1:9" x14ac:dyDescent="0.25">
      <c r="A13">
        <v>12</v>
      </c>
      <c r="B13" t="s">
        <v>20</v>
      </c>
      <c r="C13">
        <v>1</v>
      </c>
      <c r="D13">
        <v>45</v>
      </c>
      <c r="E13">
        <v>19</v>
      </c>
      <c r="F13">
        <v>1</v>
      </c>
      <c r="G13">
        <v>138.31</v>
      </c>
      <c r="H13" s="8">
        <v>0</v>
      </c>
      <c r="I13" s="8">
        <v>138.31</v>
      </c>
    </row>
    <row r="14" spans="1:9" x14ac:dyDescent="0.25">
      <c r="A14">
        <v>13</v>
      </c>
      <c r="B14" t="s">
        <v>21</v>
      </c>
      <c r="C14">
        <v>2</v>
      </c>
      <c r="D14">
        <v>177</v>
      </c>
      <c r="E14">
        <v>26</v>
      </c>
      <c r="F14">
        <v>2</v>
      </c>
      <c r="G14">
        <v>211.87</v>
      </c>
      <c r="H14" s="8">
        <v>0.1</v>
      </c>
      <c r="I14" s="8">
        <v>381.37</v>
      </c>
    </row>
    <row r="15" spans="1:9" x14ac:dyDescent="0.25">
      <c r="A15">
        <v>14</v>
      </c>
      <c r="B15" t="s">
        <v>22</v>
      </c>
      <c r="C15">
        <v>5</v>
      </c>
      <c r="D15">
        <v>172</v>
      </c>
      <c r="E15">
        <v>66</v>
      </c>
      <c r="F15">
        <v>2</v>
      </c>
      <c r="G15">
        <v>169.57</v>
      </c>
      <c r="H15" s="8">
        <v>0.1</v>
      </c>
      <c r="I15" s="8">
        <v>305.23</v>
      </c>
    </row>
    <row r="16" spans="1:9" x14ac:dyDescent="0.25">
      <c r="A16">
        <v>15</v>
      </c>
      <c r="B16" t="s">
        <v>23</v>
      </c>
      <c r="C16">
        <v>2</v>
      </c>
      <c r="D16">
        <v>152</v>
      </c>
      <c r="E16">
        <v>26</v>
      </c>
      <c r="F16">
        <v>1</v>
      </c>
      <c r="G16">
        <v>211.87</v>
      </c>
      <c r="H16" s="8">
        <v>0</v>
      </c>
      <c r="I16" s="8">
        <v>211.87</v>
      </c>
    </row>
    <row r="17" spans="1:9" x14ac:dyDescent="0.25">
      <c r="A17">
        <v>16</v>
      </c>
      <c r="B17" t="s">
        <v>24</v>
      </c>
      <c r="C17">
        <v>1</v>
      </c>
      <c r="D17">
        <v>203</v>
      </c>
      <c r="E17">
        <v>26</v>
      </c>
      <c r="F17">
        <v>1</v>
      </c>
      <c r="G17">
        <v>211.87</v>
      </c>
      <c r="H17" s="8">
        <v>0</v>
      </c>
      <c r="I17" s="8">
        <v>211.87</v>
      </c>
    </row>
    <row r="18" spans="1:9" x14ac:dyDescent="0.25">
      <c r="A18">
        <v>17</v>
      </c>
      <c r="B18" t="s">
        <v>25</v>
      </c>
      <c r="C18">
        <v>7</v>
      </c>
      <c r="D18">
        <v>40</v>
      </c>
      <c r="E18">
        <v>26</v>
      </c>
      <c r="F18">
        <v>1</v>
      </c>
      <c r="G18">
        <v>211.87</v>
      </c>
      <c r="H18" s="8">
        <v>0.05</v>
      </c>
      <c r="I18" s="8">
        <v>201.28</v>
      </c>
    </row>
    <row r="19" spans="1:9" x14ac:dyDescent="0.25">
      <c r="A19">
        <v>18</v>
      </c>
      <c r="B19" t="s">
        <v>26</v>
      </c>
      <c r="C19">
        <v>4</v>
      </c>
      <c r="D19">
        <v>3</v>
      </c>
      <c r="E19">
        <v>47</v>
      </c>
      <c r="F19">
        <v>1</v>
      </c>
      <c r="G19">
        <v>93.41</v>
      </c>
      <c r="H19" s="8">
        <v>0</v>
      </c>
      <c r="I19" s="8">
        <v>93.41</v>
      </c>
    </row>
    <row r="20" spans="1:9" x14ac:dyDescent="0.25">
      <c r="A20">
        <v>19</v>
      </c>
      <c r="B20" t="s">
        <v>27</v>
      </c>
      <c r="C20">
        <v>8</v>
      </c>
      <c r="D20">
        <v>32</v>
      </c>
      <c r="E20">
        <v>81</v>
      </c>
      <c r="F20">
        <v>1</v>
      </c>
      <c r="G20">
        <v>225.3</v>
      </c>
      <c r="H20" s="8">
        <v>0.1</v>
      </c>
      <c r="I20" s="8">
        <v>202.77</v>
      </c>
    </row>
    <row r="21" spans="1:9" x14ac:dyDescent="0.25">
      <c r="A21">
        <v>20</v>
      </c>
      <c r="B21" t="s">
        <v>28</v>
      </c>
      <c r="C21">
        <v>1</v>
      </c>
      <c r="D21">
        <v>60</v>
      </c>
      <c r="E21">
        <v>71</v>
      </c>
      <c r="F21">
        <v>1</v>
      </c>
      <c r="G21">
        <v>225.61</v>
      </c>
      <c r="H21" s="8">
        <v>0</v>
      </c>
      <c r="I21" s="8">
        <v>225.61</v>
      </c>
    </row>
    <row r="22" spans="1:9" x14ac:dyDescent="0.25">
      <c r="A22">
        <v>21</v>
      </c>
      <c r="B22" t="s">
        <v>29</v>
      </c>
      <c r="C22">
        <v>5</v>
      </c>
      <c r="D22">
        <v>144</v>
      </c>
      <c r="E22">
        <v>58</v>
      </c>
      <c r="F22">
        <v>1</v>
      </c>
      <c r="G22">
        <v>64.400000000000006</v>
      </c>
      <c r="H22" s="8">
        <v>0.1</v>
      </c>
      <c r="I22" s="8">
        <v>57.96</v>
      </c>
    </row>
    <row r="23" spans="1:9" x14ac:dyDescent="0.25">
      <c r="A23">
        <v>22</v>
      </c>
      <c r="B23" t="s">
        <v>30</v>
      </c>
      <c r="C23">
        <v>5</v>
      </c>
      <c r="D23">
        <v>21</v>
      </c>
      <c r="E23">
        <v>61</v>
      </c>
      <c r="F23">
        <v>1</v>
      </c>
      <c r="G23">
        <v>106.64</v>
      </c>
      <c r="H23" s="8">
        <v>0.05</v>
      </c>
      <c r="I23" s="8">
        <v>101.31</v>
      </c>
    </row>
    <row r="24" spans="1:9" x14ac:dyDescent="0.25">
      <c r="A24">
        <v>23</v>
      </c>
      <c r="B24" t="s">
        <v>31</v>
      </c>
      <c r="C24">
        <v>8</v>
      </c>
      <c r="D24">
        <v>154</v>
      </c>
      <c r="E24">
        <v>25</v>
      </c>
      <c r="F24">
        <v>1</v>
      </c>
      <c r="G24">
        <v>117.41</v>
      </c>
      <c r="H24" s="8">
        <v>0</v>
      </c>
      <c r="I24" s="8">
        <v>117.41</v>
      </c>
    </row>
    <row r="25" spans="1:9" x14ac:dyDescent="0.25">
      <c r="A25">
        <v>24</v>
      </c>
      <c r="B25" t="s">
        <v>32</v>
      </c>
      <c r="C25">
        <v>1</v>
      </c>
      <c r="D25">
        <v>19</v>
      </c>
      <c r="E25">
        <v>31</v>
      </c>
      <c r="F25">
        <v>1</v>
      </c>
      <c r="G25">
        <v>165.45</v>
      </c>
      <c r="H25" s="8">
        <v>0.05</v>
      </c>
      <c r="I25" s="8">
        <v>157.18</v>
      </c>
    </row>
    <row r="26" spans="1:9" x14ac:dyDescent="0.25">
      <c r="A26">
        <v>25</v>
      </c>
      <c r="B26" t="s">
        <v>33</v>
      </c>
      <c r="C26">
        <v>3</v>
      </c>
      <c r="D26">
        <v>90</v>
      </c>
      <c r="E26">
        <v>17</v>
      </c>
      <c r="F26">
        <v>1</v>
      </c>
      <c r="G26">
        <v>97.14</v>
      </c>
      <c r="H26" s="8">
        <v>0.05</v>
      </c>
      <c r="I26" s="8">
        <v>92.28</v>
      </c>
    </row>
    <row r="27" spans="1:9" x14ac:dyDescent="0.25">
      <c r="A27">
        <v>26</v>
      </c>
      <c r="B27" t="s">
        <v>34</v>
      </c>
      <c r="C27">
        <v>1</v>
      </c>
      <c r="D27">
        <v>179</v>
      </c>
      <c r="E27">
        <v>74</v>
      </c>
      <c r="F27">
        <v>1</v>
      </c>
      <c r="G27">
        <v>205.01</v>
      </c>
      <c r="H27" s="8">
        <v>0</v>
      </c>
      <c r="I27" s="8">
        <v>205.01</v>
      </c>
    </row>
    <row r="28" spans="1:9" x14ac:dyDescent="0.25">
      <c r="A28">
        <v>27</v>
      </c>
      <c r="B28" t="s">
        <v>35</v>
      </c>
      <c r="C28">
        <v>2</v>
      </c>
      <c r="D28">
        <v>201</v>
      </c>
      <c r="E28">
        <v>57</v>
      </c>
      <c r="F28">
        <v>3</v>
      </c>
      <c r="G28">
        <v>32.28</v>
      </c>
      <c r="H28" s="8">
        <v>0.15</v>
      </c>
      <c r="I28" s="8">
        <v>82.31</v>
      </c>
    </row>
    <row r="29" spans="1:9" x14ac:dyDescent="0.25">
      <c r="A29">
        <v>28</v>
      </c>
      <c r="B29" t="s">
        <v>36</v>
      </c>
      <c r="C29">
        <v>2</v>
      </c>
      <c r="D29">
        <v>112</v>
      </c>
      <c r="E29">
        <v>95</v>
      </c>
      <c r="F29">
        <v>2</v>
      </c>
      <c r="G29">
        <v>201.94</v>
      </c>
      <c r="H29" s="8">
        <v>0</v>
      </c>
      <c r="I29" s="8">
        <v>403.88</v>
      </c>
    </row>
    <row r="30" spans="1:9" x14ac:dyDescent="0.25">
      <c r="A30">
        <v>29</v>
      </c>
      <c r="B30" t="s">
        <v>37</v>
      </c>
      <c r="C30">
        <v>2</v>
      </c>
      <c r="D30">
        <v>76</v>
      </c>
      <c r="E30">
        <v>95</v>
      </c>
      <c r="F30">
        <v>1</v>
      </c>
      <c r="G30">
        <v>201.94</v>
      </c>
      <c r="H30" s="8">
        <v>0</v>
      </c>
      <c r="I30" s="8">
        <v>201.94</v>
      </c>
    </row>
    <row r="31" spans="1:9" x14ac:dyDescent="0.25">
      <c r="A31">
        <v>30</v>
      </c>
      <c r="B31" t="s">
        <v>38</v>
      </c>
      <c r="C31">
        <v>8</v>
      </c>
      <c r="D31">
        <v>108</v>
      </c>
      <c r="E31">
        <v>57</v>
      </c>
      <c r="F31">
        <v>1</v>
      </c>
      <c r="G31">
        <v>32.28</v>
      </c>
      <c r="H31" s="8">
        <v>0.1</v>
      </c>
      <c r="I31" s="8">
        <v>29.05</v>
      </c>
    </row>
    <row r="32" spans="1:9" x14ac:dyDescent="0.25">
      <c r="A32">
        <v>31</v>
      </c>
      <c r="B32" t="s">
        <v>39</v>
      </c>
      <c r="C32">
        <v>5</v>
      </c>
      <c r="D32">
        <v>160</v>
      </c>
      <c r="E32">
        <v>43</v>
      </c>
      <c r="F32">
        <v>1</v>
      </c>
      <c r="G32">
        <v>16.04</v>
      </c>
      <c r="H32" s="8">
        <v>0.2</v>
      </c>
      <c r="I32" s="8">
        <v>12.83</v>
      </c>
    </row>
    <row r="33" spans="1:9" x14ac:dyDescent="0.25">
      <c r="A33">
        <v>32</v>
      </c>
      <c r="B33" t="s">
        <v>40</v>
      </c>
      <c r="C33">
        <v>8</v>
      </c>
      <c r="D33">
        <v>208</v>
      </c>
      <c r="E33">
        <v>72</v>
      </c>
      <c r="F33">
        <v>2</v>
      </c>
      <c r="G33">
        <v>50.75</v>
      </c>
      <c r="H33" s="8">
        <v>0</v>
      </c>
      <c r="I33" s="8">
        <v>101.5</v>
      </c>
    </row>
    <row r="34" spans="1:9" x14ac:dyDescent="0.25">
      <c r="A34">
        <v>33</v>
      </c>
      <c r="B34" t="s">
        <v>41</v>
      </c>
      <c r="C34">
        <v>4</v>
      </c>
      <c r="D34">
        <v>220</v>
      </c>
      <c r="E34">
        <v>6</v>
      </c>
      <c r="F34">
        <v>1</v>
      </c>
      <c r="G34">
        <v>44.63</v>
      </c>
      <c r="H34" s="8">
        <v>0.05</v>
      </c>
      <c r="I34" s="8">
        <v>42.4</v>
      </c>
    </row>
    <row r="35" spans="1:9" x14ac:dyDescent="0.25">
      <c r="A35">
        <v>34</v>
      </c>
      <c r="B35" t="s">
        <v>42</v>
      </c>
      <c r="C35">
        <v>3</v>
      </c>
      <c r="D35">
        <v>118</v>
      </c>
      <c r="E35">
        <v>33</v>
      </c>
      <c r="F35">
        <v>1</v>
      </c>
      <c r="G35">
        <v>21.23</v>
      </c>
      <c r="H35" s="8">
        <v>0.1</v>
      </c>
      <c r="I35" s="8">
        <v>19.11</v>
      </c>
    </row>
    <row r="36" spans="1:9" x14ac:dyDescent="0.25">
      <c r="A36">
        <v>35</v>
      </c>
      <c r="B36" t="s">
        <v>43</v>
      </c>
      <c r="C36">
        <v>4</v>
      </c>
      <c r="D36">
        <v>211</v>
      </c>
      <c r="E36">
        <v>98</v>
      </c>
      <c r="F36">
        <v>1</v>
      </c>
      <c r="G36">
        <v>136.97</v>
      </c>
      <c r="H36" s="8">
        <v>0.05</v>
      </c>
      <c r="I36" s="8">
        <v>130.12</v>
      </c>
    </row>
    <row r="37" spans="1:9" x14ac:dyDescent="0.25">
      <c r="A37">
        <v>36</v>
      </c>
      <c r="B37" t="s">
        <v>44</v>
      </c>
      <c r="C37">
        <v>3</v>
      </c>
      <c r="D37">
        <v>187</v>
      </c>
      <c r="E37">
        <v>52</v>
      </c>
      <c r="F37">
        <v>2</v>
      </c>
      <c r="G37">
        <v>196.75</v>
      </c>
      <c r="H37" s="8">
        <v>0</v>
      </c>
      <c r="I37" s="8">
        <v>393.5</v>
      </c>
    </row>
    <row r="38" spans="1:9" x14ac:dyDescent="0.25">
      <c r="A38">
        <v>37</v>
      </c>
      <c r="B38" t="s">
        <v>45</v>
      </c>
      <c r="C38">
        <v>5</v>
      </c>
      <c r="D38">
        <v>96</v>
      </c>
      <c r="E38">
        <v>89</v>
      </c>
      <c r="F38">
        <v>1</v>
      </c>
      <c r="G38">
        <v>247.43</v>
      </c>
      <c r="H38" s="8">
        <v>0</v>
      </c>
      <c r="I38" s="8">
        <v>247.43</v>
      </c>
    </row>
    <row r="39" spans="1:9" x14ac:dyDescent="0.25">
      <c r="A39">
        <v>38</v>
      </c>
      <c r="B39" t="s">
        <v>46</v>
      </c>
      <c r="C39">
        <v>6</v>
      </c>
      <c r="D39">
        <v>93</v>
      </c>
      <c r="E39">
        <v>9</v>
      </c>
      <c r="F39">
        <v>1</v>
      </c>
      <c r="G39">
        <v>152.78</v>
      </c>
      <c r="H39" s="8">
        <v>0</v>
      </c>
      <c r="I39" s="8">
        <v>152.78</v>
      </c>
    </row>
    <row r="40" spans="1:9" x14ac:dyDescent="0.25">
      <c r="A40">
        <v>39</v>
      </c>
      <c r="B40" t="s">
        <v>47</v>
      </c>
      <c r="C40">
        <v>5</v>
      </c>
      <c r="D40">
        <v>110</v>
      </c>
      <c r="E40">
        <v>94</v>
      </c>
      <c r="F40">
        <v>1</v>
      </c>
      <c r="G40">
        <v>163.66</v>
      </c>
      <c r="H40" s="8">
        <v>0</v>
      </c>
      <c r="I40" s="8">
        <v>163.66</v>
      </c>
    </row>
    <row r="41" spans="1:9" x14ac:dyDescent="0.25">
      <c r="A41">
        <v>40</v>
      </c>
      <c r="B41" t="s">
        <v>48</v>
      </c>
      <c r="C41">
        <v>5</v>
      </c>
      <c r="D41">
        <v>39</v>
      </c>
      <c r="E41">
        <v>25</v>
      </c>
      <c r="F41">
        <v>1</v>
      </c>
      <c r="G41">
        <v>117.41</v>
      </c>
      <c r="H41" s="8">
        <v>0</v>
      </c>
      <c r="I41" s="8">
        <v>117.41</v>
      </c>
    </row>
    <row r="42" spans="1:9" x14ac:dyDescent="0.25">
      <c r="A42">
        <v>41</v>
      </c>
      <c r="B42" t="s">
        <v>49</v>
      </c>
      <c r="C42">
        <v>8</v>
      </c>
      <c r="D42">
        <v>154</v>
      </c>
      <c r="E42">
        <v>44</v>
      </c>
      <c r="F42">
        <v>1</v>
      </c>
      <c r="G42">
        <v>235.19</v>
      </c>
      <c r="H42" s="8">
        <v>0</v>
      </c>
      <c r="I42" s="8">
        <v>235.19</v>
      </c>
    </row>
    <row r="43" spans="1:9" x14ac:dyDescent="0.25">
      <c r="A43">
        <v>42</v>
      </c>
      <c r="B43" t="s">
        <v>50</v>
      </c>
      <c r="C43">
        <v>8</v>
      </c>
      <c r="D43">
        <v>143</v>
      </c>
      <c r="E43">
        <v>25</v>
      </c>
      <c r="F43">
        <v>1</v>
      </c>
      <c r="G43">
        <v>117.41</v>
      </c>
      <c r="H43" s="8">
        <v>0.05</v>
      </c>
      <c r="I43" s="8">
        <v>111.54</v>
      </c>
    </row>
    <row r="44" spans="1:9" x14ac:dyDescent="0.25">
      <c r="A44">
        <v>43</v>
      </c>
      <c r="B44" t="s">
        <v>51</v>
      </c>
      <c r="C44">
        <v>6</v>
      </c>
      <c r="D44">
        <v>177</v>
      </c>
      <c r="E44">
        <v>60</v>
      </c>
      <c r="F44">
        <v>1</v>
      </c>
      <c r="G44">
        <v>101.29</v>
      </c>
      <c r="H44" s="8">
        <v>0.05</v>
      </c>
      <c r="I44" s="8">
        <v>96.23</v>
      </c>
    </row>
    <row r="45" spans="1:9" x14ac:dyDescent="0.25">
      <c r="A45">
        <v>44</v>
      </c>
      <c r="B45" t="s">
        <v>52</v>
      </c>
      <c r="C45">
        <v>7</v>
      </c>
      <c r="D45">
        <v>37</v>
      </c>
      <c r="E45">
        <v>93</v>
      </c>
      <c r="F45">
        <v>1</v>
      </c>
      <c r="G45">
        <v>239.23</v>
      </c>
      <c r="H45" s="8">
        <v>0</v>
      </c>
      <c r="I45" s="8">
        <v>239.23</v>
      </c>
    </row>
    <row r="46" spans="1:9" x14ac:dyDescent="0.25">
      <c r="A46">
        <v>45</v>
      </c>
      <c r="B46" t="s">
        <v>53</v>
      </c>
      <c r="C46">
        <v>6</v>
      </c>
      <c r="D46">
        <v>125</v>
      </c>
      <c r="E46">
        <v>69</v>
      </c>
      <c r="F46">
        <v>1</v>
      </c>
      <c r="G46">
        <v>22.86</v>
      </c>
      <c r="H46" s="8">
        <v>0.15</v>
      </c>
      <c r="I46" s="8">
        <v>19.43</v>
      </c>
    </row>
    <row r="47" spans="1:9" x14ac:dyDescent="0.25">
      <c r="A47">
        <v>46</v>
      </c>
      <c r="B47" t="s">
        <v>54</v>
      </c>
      <c r="C47">
        <v>4</v>
      </c>
      <c r="D47">
        <v>94</v>
      </c>
      <c r="E47">
        <v>62</v>
      </c>
      <c r="F47">
        <v>1</v>
      </c>
      <c r="G47">
        <v>82.81</v>
      </c>
      <c r="H47" s="8">
        <v>0</v>
      </c>
      <c r="I47" s="8">
        <v>82.81</v>
      </c>
    </row>
    <row r="48" spans="1:9" x14ac:dyDescent="0.25">
      <c r="A48">
        <v>47</v>
      </c>
      <c r="B48" t="s">
        <v>55</v>
      </c>
      <c r="C48">
        <v>4</v>
      </c>
      <c r="D48">
        <v>149</v>
      </c>
      <c r="E48">
        <v>80</v>
      </c>
      <c r="F48">
        <v>1</v>
      </c>
      <c r="G48">
        <v>33.380000000000003</v>
      </c>
      <c r="H48" s="8">
        <v>0</v>
      </c>
      <c r="I48" s="8">
        <v>33.380000000000003</v>
      </c>
    </row>
    <row r="49" spans="1:9" x14ac:dyDescent="0.25">
      <c r="A49">
        <v>48</v>
      </c>
      <c r="B49" t="s">
        <v>56</v>
      </c>
      <c r="C49">
        <v>1</v>
      </c>
      <c r="D49">
        <v>218</v>
      </c>
      <c r="E49">
        <v>86</v>
      </c>
      <c r="F49">
        <v>1</v>
      </c>
      <c r="G49">
        <v>99.19</v>
      </c>
      <c r="H49" s="8">
        <v>0.15</v>
      </c>
      <c r="I49" s="8">
        <v>84.31</v>
      </c>
    </row>
    <row r="50" spans="1:9" x14ac:dyDescent="0.25">
      <c r="A50">
        <v>49</v>
      </c>
      <c r="B50" t="s">
        <v>57</v>
      </c>
      <c r="C50">
        <v>8</v>
      </c>
      <c r="D50">
        <v>83</v>
      </c>
      <c r="E50">
        <v>72</v>
      </c>
      <c r="F50">
        <v>1</v>
      </c>
      <c r="G50">
        <v>50.75</v>
      </c>
      <c r="H50" s="8">
        <v>0</v>
      </c>
      <c r="I50" s="8">
        <v>50.75</v>
      </c>
    </row>
    <row r="51" spans="1:9" x14ac:dyDescent="0.25">
      <c r="A51">
        <v>50</v>
      </c>
      <c r="B51" t="s">
        <v>58</v>
      </c>
      <c r="C51">
        <v>7</v>
      </c>
      <c r="D51">
        <v>193</v>
      </c>
      <c r="E51">
        <v>83</v>
      </c>
      <c r="F51">
        <v>1</v>
      </c>
      <c r="G51">
        <v>109.16</v>
      </c>
      <c r="H51" s="8">
        <v>0</v>
      </c>
      <c r="I51" s="8">
        <v>109.16</v>
      </c>
    </row>
    <row r="52" spans="1:9" x14ac:dyDescent="0.25">
      <c r="A52">
        <v>51</v>
      </c>
      <c r="B52" t="s">
        <v>59</v>
      </c>
      <c r="C52">
        <v>8</v>
      </c>
      <c r="D52">
        <v>127</v>
      </c>
      <c r="E52">
        <v>5</v>
      </c>
      <c r="F52">
        <v>1</v>
      </c>
      <c r="G52">
        <v>55.26</v>
      </c>
      <c r="H52" s="8">
        <v>0</v>
      </c>
      <c r="I52" s="8">
        <v>55.26</v>
      </c>
    </row>
    <row r="53" spans="1:9" x14ac:dyDescent="0.25">
      <c r="A53">
        <v>52</v>
      </c>
      <c r="B53" t="s">
        <v>60</v>
      </c>
      <c r="C53">
        <v>3</v>
      </c>
      <c r="D53">
        <v>217</v>
      </c>
      <c r="E53">
        <v>71</v>
      </c>
      <c r="F53">
        <v>1</v>
      </c>
      <c r="G53">
        <v>225.61</v>
      </c>
      <c r="H53" s="8">
        <v>0</v>
      </c>
      <c r="I53" s="8">
        <v>225.61</v>
      </c>
    </row>
    <row r="54" spans="1:9" x14ac:dyDescent="0.25">
      <c r="A54">
        <v>53</v>
      </c>
      <c r="B54" t="s">
        <v>61</v>
      </c>
      <c r="C54">
        <v>6</v>
      </c>
      <c r="D54">
        <v>195</v>
      </c>
      <c r="E54">
        <v>4</v>
      </c>
      <c r="F54">
        <v>1</v>
      </c>
      <c r="G54">
        <v>168</v>
      </c>
      <c r="H54" s="8">
        <v>0</v>
      </c>
      <c r="I54" s="8">
        <v>168</v>
      </c>
    </row>
    <row r="55" spans="1:9" x14ac:dyDescent="0.25">
      <c r="A55">
        <v>54</v>
      </c>
      <c r="B55" t="s">
        <v>62</v>
      </c>
      <c r="C55">
        <v>8</v>
      </c>
      <c r="D55">
        <v>17</v>
      </c>
      <c r="E55">
        <v>50</v>
      </c>
      <c r="F55">
        <v>1</v>
      </c>
      <c r="G55">
        <v>52.54</v>
      </c>
      <c r="H55" s="8">
        <v>0</v>
      </c>
      <c r="I55" s="8">
        <v>52.54</v>
      </c>
    </row>
    <row r="56" spans="1:9" x14ac:dyDescent="0.25">
      <c r="A56">
        <v>55</v>
      </c>
      <c r="B56" t="s">
        <v>63</v>
      </c>
      <c r="C56">
        <v>8</v>
      </c>
      <c r="D56">
        <v>200</v>
      </c>
      <c r="E56">
        <v>64</v>
      </c>
      <c r="F56">
        <v>1</v>
      </c>
      <c r="G56">
        <v>103.65</v>
      </c>
      <c r="H56" s="8">
        <v>0</v>
      </c>
      <c r="I56" s="8">
        <v>103.65</v>
      </c>
    </row>
    <row r="57" spans="1:9" x14ac:dyDescent="0.25">
      <c r="A57">
        <v>56</v>
      </c>
      <c r="B57" t="s">
        <v>64</v>
      </c>
      <c r="C57">
        <v>3</v>
      </c>
      <c r="D57">
        <v>139</v>
      </c>
      <c r="E57">
        <v>44</v>
      </c>
      <c r="F57">
        <v>1</v>
      </c>
      <c r="G57">
        <v>235.19</v>
      </c>
      <c r="H57" s="8">
        <v>0.1</v>
      </c>
      <c r="I57" s="8">
        <v>211.67</v>
      </c>
    </row>
    <row r="58" spans="1:9" x14ac:dyDescent="0.25">
      <c r="A58">
        <v>57</v>
      </c>
      <c r="B58" t="s">
        <v>65</v>
      </c>
      <c r="C58">
        <v>3</v>
      </c>
      <c r="D58">
        <v>190</v>
      </c>
      <c r="E58">
        <v>47</v>
      </c>
      <c r="F58">
        <v>1</v>
      </c>
      <c r="G58">
        <v>93.41</v>
      </c>
      <c r="H58" s="8">
        <v>0</v>
      </c>
      <c r="I58" s="8">
        <v>93.41</v>
      </c>
    </row>
    <row r="59" spans="1:9" x14ac:dyDescent="0.25">
      <c r="A59">
        <v>58</v>
      </c>
      <c r="B59" t="s">
        <v>66</v>
      </c>
      <c r="C59">
        <v>8</v>
      </c>
      <c r="D59">
        <v>87</v>
      </c>
      <c r="E59">
        <v>29</v>
      </c>
      <c r="F59">
        <v>1</v>
      </c>
      <c r="G59">
        <v>138.6</v>
      </c>
      <c r="H59" s="8">
        <v>0</v>
      </c>
      <c r="I59" s="8">
        <v>138.6</v>
      </c>
    </row>
    <row r="60" spans="1:9" x14ac:dyDescent="0.25">
      <c r="A60">
        <v>59</v>
      </c>
      <c r="B60" t="s">
        <v>67</v>
      </c>
      <c r="C60">
        <v>6</v>
      </c>
      <c r="D60">
        <v>106</v>
      </c>
      <c r="E60">
        <v>94</v>
      </c>
      <c r="F60">
        <v>1</v>
      </c>
      <c r="G60">
        <v>163.66</v>
      </c>
      <c r="H60" s="8">
        <v>0</v>
      </c>
      <c r="I60" s="8">
        <v>163.66</v>
      </c>
    </row>
    <row r="61" spans="1:9" x14ac:dyDescent="0.25">
      <c r="A61">
        <v>60</v>
      </c>
      <c r="B61" t="s">
        <v>68</v>
      </c>
      <c r="C61">
        <v>2</v>
      </c>
      <c r="D61">
        <v>132</v>
      </c>
      <c r="E61">
        <v>6</v>
      </c>
      <c r="F61">
        <v>2</v>
      </c>
      <c r="G61">
        <v>44.63</v>
      </c>
      <c r="H61" s="8">
        <v>0</v>
      </c>
      <c r="I61" s="8">
        <v>89.26</v>
      </c>
    </row>
    <row r="62" spans="1:9" x14ac:dyDescent="0.25">
      <c r="A62">
        <v>61</v>
      </c>
      <c r="B62" t="s">
        <v>69</v>
      </c>
      <c r="C62">
        <v>7</v>
      </c>
      <c r="D62">
        <v>43</v>
      </c>
      <c r="E62">
        <v>72</v>
      </c>
      <c r="F62">
        <v>1</v>
      </c>
      <c r="G62">
        <v>50.75</v>
      </c>
      <c r="H62" s="8">
        <v>0.05</v>
      </c>
      <c r="I62" s="8">
        <v>48.21</v>
      </c>
    </row>
    <row r="63" spans="1:9" x14ac:dyDescent="0.25">
      <c r="A63">
        <v>62</v>
      </c>
      <c r="B63" t="s">
        <v>70</v>
      </c>
      <c r="C63">
        <v>8</v>
      </c>
      <c r="D63">
        <v>47</v>
      </c>
      <c r="E63">
        <v>1</v>
      </c>
      <c r="F63">
        <v>1</v>
      </c>
      <c r="G63">
        <v>90.53</v>
      </c>
      <c r="H63" s="8">
        <v>0</v>
      </c>
      <c r="I63" s="8">
        <v>90.53</v>
      </c>
    </row>
    <row r="64" spans="1:9" x14ac:dyDescent="0.25">
      <c r="A64">
        <v>63</v>
      </c>
      <c r="B64" t="s">
        <v>71</v>
      </c>
      <c r="C64">
        <v>2</v>
      </c>
      <c r="D64">
        <v>165</v>
      </c>
      <c r="E64">
        <v>70</v>
      </c>
      <c r="F64">
        <v>1</v>
      </c>
      <c r="G64">
        <v>280.36</v>
      </c>
      <c r="H64" s="8">
        <v>0</v>
      </c>
      <c r="I64" s="8">
        <v>280.36</v>
      </c>
    </row>
    <row r="65" spans="1:9" x14ac:dyDescent="0.25">
      <c r="A65">
        <v>64</v>
      </c>
      <c r="B65" t="s">
        <v>72</v>
      </c>
      <c r="C65">
        <v>5</v>
      </c>
      <c r="D65">
        <v>101</v>
      </c>
      <c r="E65">
        <v>73</v>
      </c>
      <c r="F65">
        <v>1</v>
      </c>
      <c r="G65">
        <v>8.39</v>
      </c>
      <c r="H65" s="8">
        <v>0</v>
      </c>
      <c r="I65" s="8">
        <v>8.39</v>
      </c>
    </row>
    <row r="66" spans="1:9" x14ac:dyDescent="0.25">
      <c r="A66">
        <v>65</v>
      </c>
      <c r="B66" t="s">
        <v>73</v>
      </c>
      <c r="C66">
        <v>2</v>
      </c>
      <c r="D66">
        <v>103</v>
      </c>
      <c r="E66">
        <v>57</v>
      </c>
      <c r="F66">
        <v>4</v>
      </c>
      <c r="G66">
        <v>32.28</v>
      </c>
      <c r="H66" s="8">
        <v>0</v>
      </c>
      <c r="I66" s="8">
        <v>129.12</v>
      </c>
    </row>
    <row r="67" spans="1:9" x14ac:dyDescent="0.25">
      <c r="A67">
        <v>66</v>
      </c>
      <c r="B67" t="s">
        <v>74</v>
      </c>
      <c r="C67">
        <v>2</v>
      </c>
      <c r="D67">
        <v>27</v>
      </c>
      <c r="E67">
        <v>30</v>
      </c>
      <c r="F67">
        <v>1</v>
      </c>
      <c r="G67">
        <v>19.399999999999999</v>
      </c>
      <c r="H67" s="8">
        <v>0</v>
      </c>
      <c r="I67" s="8">
        <v>19.399999999999999</v>
      </c>
    </row>
    <row r="68" spans="1:9" x14ac:dyDescent="0.25">
      <c r="A68">
        <v>67</v>
      </c>
      <c r="B68" t="s">
        <v>62</v>
      </c>
      <c r="C68">
        <v>8</v>
      </c>
      <c r="D68">
        <v>24</v>
      </c>
      <c r="E68">
        <v>7</v>
      </c>
      <c r="F68">
        <v>1</v>
      </c>
      <c r="G68">
        <v>21.72</v>
      </c>
      <c r="H68" s="8">
        <v>0.1</v>
      </c>
      <c r="I68" s="8">
        <v>19.55</v>
      </c>
    </row>
    <row r="69" spans="1:9" x14ac:dyDescent="0.25">
      <c r="A69">
        <v>68</v>
      </c>
      <c r="B69" t="s">
        <v>75</v>
      </c>
      <c r="C69">
        <v>5</v>
      </c>
      <c r="D69">
        <v>15</v>
      </c>
      <c r="E69">
        <v>79</v>
      </c>
      <c r="F69">
        <v>1</v>
      </c>
      <c r="G69">
        <v>117.59</v>
      </c>
      <c r="H69" s="8">
        <v>0.1</v>
      </c>
      <c r="I69" s="8">
        <v>105.83</v>
      </c>
    </row>
    <row r="70" spans="1:9" x14ac:dyDescent="0.25">
      <c r="A70">
        <v>69</v>
      </c>
      <c r="B70" t="s">
        <v>76</v>
      </c>
      <c r="C70">
        <v>1</v>
      </c>
      <c r="D70">
        <v>95</v>
      </c>
      <c r="E70">
        <v>98</v>
      </c>
      <c r="F70">
        <v>1</v>
      </c>
      <c r="G70">
        <v>136.97</v>
      </c>
      <c r="H70" s="8">
        <v>0.05</v>
      </c>
      <c r="I70" s="8">
        <v>130.12</v>
      </c>
    </row>
    <row r="71" spans="1:9" x14ac:dyDescent="0.25">
      <c r="A71">
        <v>70</v>
      </c>
      <c r="B71" t="s">
        <v>77</v>
      </c>
      <c r="C71">
        <v>1</v>
      </c>
      <c r="D71">
        <v>78</v>
      </c>
      <c r="E71">
        <v>29</v>
      </c>
      <c r="F71">
        <v>2</v>
      </c>
      <c r="G71">
        <v>138.6</v>
      </c>
      <c r="H71" s="8">
        <v>0.05</v>
      </c>
      <c r="I71" s="8">
        <v>263.33999999999997</v>
      </c>
    </row>
    <row r="72" spans="1:9" x14ac:dyDescent="0.25">
      <c r="A72">
        <v>71</v>
      </c>
      <c r="B72" t="s">
        <v>78</v>
      </c>
      <c r="C72">
        <v>6</v>
      </c>
      <c r="D72">
        <v>119</v>
      </c>
      <c r="E72">
        <v>16</v>
      </c>
      <c r="F72">
        <v>1</v>
      </c>
      <c r="G72">
        <v>62.77</v>
      </c>
      <c r="H72" s="8">
        <v>0</v>
      </c>
      <c r="I72" s="8">
        <v>62.77</v>
      </c>
    </row>
    <row r="73" spans="1:9" x14ac:dyDescent="0.25">
      <c r="A73">
        <v>72</v>
      </c>
      <c r="B73" t="s">
        <v>79</v>
      </c>
      <c r="C73">
        <v>7</v>
      </c>
      <c r="D73">
        <v>143</v>
      </c>
      <c r="E73">
        <v>23</v>
      </c>
      <c r="F73">
        <v>1</v>
      </c>
      <c r="G73">
        <v>79.94</v>
      </c>
      <c r="H73" s="8">
        <v>0</v>
      </c>
      <c r="I73" s="8">
        <v>79.94</v>
      </c>
    </row>
    <row r="74" spans="1:9" x14ac:dyDescent="0.25">
      <c r="A74">
        <v>73</v>
      </c>
      <c r="B74" t="s">
        <v>80</v>
      </c>
      <c r="C74">
        <v>4</v>
      </c>
      <c r="D74">
        <v>7</v>
      </c>
      <c r="E74">
        <v>9</v>
      </c>
      <c r="F74">
        <v>2</v>
      </c>
      <c r="G74">
        <v>152.78</v>
      </c>
      <c r="H74" s="8">
        <v>0</v>
      </c>
      <c r="I74" s="8">
        <v>305.56</v>
      </c>
    </row>
    <row r="75" spans="1:9" x14ac:dyDescent="0.25">
      <c r="A75">
        <v>74</v>
      </c>
      <c r="B75" t="s">
        <v>81</v>
      </c>
      <c r="C75">
        <v>3</v>
      </c>
      <c r="D75">
        <v>19</v>
      </c>
      <c r="E75">
        <v>91</v>
      </c>
      <c r="F75">
        <v>1</v>
      </c>
      <c r="G75">
        <v>33.700000000000003</v>
      </c>
      <c r="H75" s="8">
        <v>0</v>
      </c>
      <c r="I75" s="8">
        <v>33.700000000000003</v>
      </c>
    </row>
    <row r="76" spans="1:9" x14ac:dyDescent="0.25">
      <c r="A76">
        <v>75</v>
      </c>
      <c r="B76" t="s">
        <v>82</v>
      </c>
      <c r="C76">
        <v>3</v>
      </c>
      <c r="D76">
        <v>98</v>
      </c>
      <c r="E76">
        <v>88</v>
      </c>
      <c r="F76">
        <v>1</v>
      </c>
      <c r="G76">
        <v>181.05</v>
      </c>
      <c r="H76" s="8">
        <v>0</v>
      </c>
      <c r="I76" s="8">
        <v>181.05</v>
      </c>
    </row>
    <row r="77" spans="1:9" x14ac:dyDescent="0.25">
      <c r="A77">
        <v>76</v>
      </c>
      <c r="B77" t="s">
        <v>83</v>
      </c>
      <c r="C77">
        <v>7</v>
      </c>
      <c r="D77">
        <v>167</v>
      </c>
      <c r="E77">
        <v>61</v>
      </c>
      <c r="F77">
        <v>1</v>
      </c>
      <c r="G77">
        <v>106.64</v>
      </c>
      <c r="H77" s="8">
        <v>0.2</v>
      </c>
      <c r="I77" s="8">
        <v>85.31</v>
      </c>
    </row>
    <row r="78" spans="1:9" x14ac:dyDescent="0.25">
      <c r="A78">
        <v>77</v>
      </c>
      <c r="B78" t="s">
        <v>84</v>
      </c>
      <c r="C78">
        <v>8</v>
      </c>
      <c r="D78">
        <v>51</v>
      </c>
      <c r="E78">
        <v>87</v>
      </c>
      <c r="F78">
        <v>1</v>
      </c>
      <c r="G78">
        <v>223.85</v>
      </c>
      <c r="H78" s="8">
        <v>0.05</v>
      </c>
      <c r="I78" s="8">
        <v>212.66</v>
      </c>
    </row>
    <row r="79" spans="1:9" x14ac:dyDescent="0.25">
      <c r="A79">
        <v>78</v>
      </c>
      <c r="B79" t="s">
        <v>85</v>
      </c>
      <c r="C79">
        <v>4</v>
      </c>
      <c r="D79">
        <v>148</v>
      </c>
      <c r="E79">
        <v>23</v>
      </c>
      <c r="F79">
        <v>1</v>
      </c>
      <c r="G79">
        <v>79.94</v>
      </c>
      <c r="H79" s="8">
        <v>0</v>
      </c>
      <c r="I79" s="8">
        <v>79.94</v>
      </c>
    </row>
    <row r="80" spans="1:9" x14ac:dyDescent="0.25">
      <c r="A80">
        <v>79</v>
      </c>
      <c r="B80" t="s">
        <v>86</v>
      </c>
      <c r="C80">
        <v>5</v>
      </c>
      <c r="D80">
        <v>74</v>
      </c>
      <c r="E80">
        <v>34</v>
      </c>
      <c r="F80">
        <v>2</v>
      </c>
      <c r="G80">
        <v>247.04</v>
      </c>
      <c r="H80" s="8">
        <v>0</v>
      </c>
      <c r="I80" s="8">
        <v>494.08</v>
      </c>
    </row>
    <row r="81" spans="1:9" x14ac:dyDescent="0.25">
      <c r="A81">
        <v>80</v>
      </c>
      <c r="B81" t="s">
        <v>87</v>
      </c>
      <c r="C81">
        <v>5</v>
      </c>
      <c r="D81">
        <v>82</v>
      </c>
      <c r="E81">
        <v>36</v>
      </c>
      <c r="F81">
        <v>2</v>
      </c>
      <c r="G81">
        <v>211.43</v>
      </c>
      <c r="H81" s="8">
        <v>0</v>
      </c>
      <c r="I81" s="8">
        <v>422.86</v>
      </c>
    </row>
    <row r="82" spans="1:9" x14ac:dyDescent="0.25">
      <c r="A82">
        <v>81</v>
      </c>
      <c r="B82" t="s">
        <v>88</v>
      </c>
      <c r="C82">
        <v>8</v>
      </c>
      <c r="D82">
        <v>34</v>
      </c>
      <c r="E82">
        <v>63</v>
      </c>
      <c r="F82">
        <v>1</v>
      </c>
      <c r="G82">
        <v>239.9</v>
      </c>
      <c r="H82" s="8">
        <v>0.1</v>
      </c>
      <c r="I82" s="8">
        <v>215.91</v>
      </c>
    </row>
    <row r="83" spans="1:9" x14ac:dyDescent="0.25">
      <c r="A83">
        <v>82</v>
      </c>
      <c r="B83" t="s">
        <v>89</v>
      </c>
      <c r="C83">
        <v>3</v>
      </c>
      <c r="D83">
        <v>164</v>
      </c>
      <c r="E83">
        <v>87</v>
      </c>
      <c r="F83">
        <v>1</v>
      </c>
      <c r="G83">
        <v>223.85</v>
      </c>
      <c r="H83" s="8">
        <v>0.1</v>
      </c>
      <c r="I83" s="8">
        <v>201.47</v>
      </c>
    </row>
    <row r="84" spans="1:9" x14ac:dyDescent="0.25">
      <c r="A84">
        <v>83</v>
      </c>
      <c r="B84" t="s">
        <v>90</v>
      </c>
      <c r="C84">
        <v>8</v>
      </c>
      <c r="D84">
        <v>147</v>
      </c>
      <c r="E84">
        <v>35</v>
      </c>
      <c r="F84">
        <v>1</v>
      </c>
      <c r="G84">
        <v>303.48</v>
      </c>
      <c r="H84" s="8">
        <v>0</v>
      </c>
      <c r="I84" s="8">
        <v>303.48</v>
      </c>
    </row>
    <row r="85" spans="1:9" x14ac:dyDescent="0.25">
      <c r="A85">
        <v>84</v>
      </c>
      <c r="B85" t="s">
        <v>91</v>
      </c>
      <c r="C85">
        <v>5</v>
      </c>
      <c r="D85">
        <v>130</v>
      </c>
      <c r="E85">
        <v>90</v>
      </c>
      <c r="F85">
        <v>1</v>
      </c>
      <c r="G85">
        <v>122.32</v>
      </c>
      <c r="H85" s="8">
        <v>0.15</v>
      </c>
      <c r="I85" s="8">
        <v>103.97</v>
      </c>
    </row>
    <row r="86" spans="1:9" x14ac:dyDescent="0.25">
      <c r="A86">
        <v>85</v>
      </c>
      <c r="B86" t="s">
        <v>92</v>
      </c>
      <c r="C86">
        <v>5</v>
      </c>
      <c r="D86">
        <v>108</v>
      </c>
      <c r="E86">
        <v>26</v>
      </c>
      <c r="F86">
        <v>2</v>
      </c>
      <c r="G86">
        <v>211.87</v>
      </c>
      <c r="H86" s="8">
        <v>0</v>
      </c>
      <c r="I86" s="8">
        <v>423.74</v>
      </c>
    </row>
    <row r="87" spans="1:9" x14ac:dyDescent="0.25">
      <c r="A87">
        <v>86</v>
      </c>
      <c r="B87" t="s">
        <v>42</v>
      </c>
      <c r="C87">
        <v>5</v>
      </c>
      <c r="D87">
        <v>115</v>
      </c>
      <c r="E87">
        <v>35</v>
      </c>
      <c r="F87">
        <v>1</v>
      </c>
      <c r="G87">
        <v>303.48</v>
      </c>
      <c r="H87" s="8">
        <v>0.05</v>
      </c>
      <c r="I87" s="8">
        <v>288.31</v>
      </c>
    </row>
    <row r="88" spans="1:9" x14ac:dyDescent="0.25">
      <c r="A88">
        <v>87</v>
      </c>
      <c r="B88" t="s">
        <v>93</v>
      </c>
      <c r="C88">
        <v>7</v>
      </c>
      <c r="D88">
        <v>90</v>
      </c>
      <c r="E88">
        <v>97</v>
      </c>
      <c r="F88">
        <v>1</v>
      </c>
      <c r="G88">
        <v>158.26</v>
      </c>
      <c r="H88" s="8">
        <v>0.1</v>
      </c>
      <c r="I88" s="8">
        <v>142.43</v>
      </c>
    </row>
    <row r="89" spans="1:9" x14ac:dyDescent="0.25">
      <c r="A89">
        <v>88</v>
      </c>
      <c r="B89" t="s">
        <v>94</v>
      </c>
      <c r="C89">
        <v>2</v>
      </c>
      <c r="D89">
        <v>56</v>
      </c>
      <c r="E89">
        <v>38</v>
      </c>
      <c r="F89">
        <v>1</v>
      </c>
      <c r="G89">
        <v>35.35</v>
      </c>
      <c r="H89" s="8">
        <v>0</v>
      </c>
      <c r="I89" s="8">
        <v>35.35</v>
      </c>
    </row>
    <row r="90" spans="1:9" x14ac:dyDescent="0.25">
      <c r="A90">
        <v>89</v>
      </c>
      <c r="B90" t="s">
        <v>95</v>
      </c>
      <c r="C90">
        <v>7</v>
      </c>
      <c r="D90">
        <v>99</v>
      </c>
      <c r="E90">
        <v>98</v>
      </c>
      <c r="F90">
        <v>4</v>
      </c>
      <c r="G90">
        <v>136.97</v>
      </c>
      <c r="H90" s="8">
        <v>0</v>
      </c>
      <c r="I90" s="8">
        <v>547.88</v>
      </c>
    </row>
    <row r="91" spans="1:9" x14ac:dyDescent="0.25">
      <c r="A91">
        <v>90</v>
      </c>
      <c r="B91" t="s">
        <v>96</v>
      </c>
      <c r="C91">
        <v>5</v>
      </c>
      <c r="D91">
        <v>24</v>
      </c>
      <c r="E91">
        <v>67</v>
      </c>
      <c r="F91">
        <v>1</v>
      </c>
      <c r="G91">
        <v>41.9</v>
      </c>
      <c r="H91" s="8">
        <v>0</v>
      </c>
      <c r="I91" s="8">
        <v>41.9</v>
      </c>
    </row>
    <row r="92" spans="1:9" x14ac:dyDescent="0.25">
      <c r="A92">
        <v>91</v>
      </c>
      <c r="B92" t="s">
        <v>97</v>
      </c>
      <c r="C92">
        <v>1</v>
      </c>
      <c r="D92">
        <v>9</v>
      </c>
      <c r="E92">
        <v>91</v>
      </c>
      <c r="F92">
        <v>1</v>
      </c>
      <c r="G92">
        <v>33.700000000000003</v>
      </c>
      <c r="H92" s="8">
        <v>0</v>
      </c>
      <c r="I92" s="8">
        <v>33.700000000000003</v>
      </c>
    </row>
    <row r="93" spans="1:9" x14ac:dyDescent="0.25">
      <c r="A93">
        <v>92</v>
      </c>
      <c r="B93" t="s">
        <v>98</v>
      </c>
      <c r="C93">
        <v>5</v>
      </c>
      <c r="D93">
        <v>210</v>
      </c>
      <c r="E93">
        <v>48</v>
      </c>
      <c r="F93">
        <v>1</v>
      </c>
      <c r="G93">
        <v>146.85</v>
      </c>
      <c r="H93" s="8">
        <v>0</v>
      </c>
      <c r="I93" s="8">
        <v>146.85</v>
      </c>
    </row>
    <row r="94" spans="1:9" x14ac:dyDescent="0.25">
      <c r="A94">
        <v>93</v>
      </c>
      <c r="B94" t="s">
        <v>99</v>
      </c>
      <c r="C94">
        <v>1</v>
      </c>
      <c r="D94">
        <v>217</v>
      </c>
      <c r="E94">
        <v>31</v>
      </c>
      <c r="F94">
        <v>3</v>
      </c>
      <c r="G94">
        <v>165.45</v>
      </c>
      <c r="H94" s="8">
        <v>0</v>
      </c>
      <c r="I94" s="8">
        <v>496.35</v>
      </c>
    </row>
    <row r="95" spans="1:9" x14ac:dyDescent="0.25">
      <c r="A95">
        <v>94</v>
      </c>
      <c r="B95" t="s">
        <v>100</v>
      </c>
      <c r="C95">
        <v>5</v>
      </c>
      <c r="D95">
        <v>54</v>
      </c>
      <c r="E95">
        <v>34</v>
      </c>
      <c r="F95">
        <v>2</v>
      </c>
      <c r="G95">
        <v>247.04</v>
      </c>
      <c r="H95" s="8">
        <v>0</v>
      </c>
      <c r="I95" s="8">
        <v>494.08</v>
      </c>
    </row>
    <row r="96" spans="1:9" x14ac:dyDescent="0.25">
      <c r="A96">
        <v>95</v>
      </c>
      <c r="B96" t="s">
        <v>101</v>
      </c>
      <c r="C96">
        <v>6</v>
      </c>
      <c r="D96">
        <v>104</v>
      </c>
      <c r="E96">
        <v>55</v>
      </c>
      <c r="F96">
        <v>2</v>
      </c>
      <c r="G96">
        <v>193.33</v>
      </c>
      <c r="H96" s="8">
        <v>0</v>
      </c>
      <c r="I96" s="8">
        <v>386.66</v>
      </c>
    </row>
    <row r="97" spans="1:9" x14ac:dyDescent="0.25">
      <c r="A97">
        <v>96</v>
      </c>
      <c r="B97" t="s">
        <v>102</v>
      </c>
      <c r="C97">
        <v>4</v>
      </c>
      <c r="D97">
        <v>116</v>
      </c>
      <c r="E97">
        <v>26</v>
      </c>
      <c r="F97">
        <v>1</v>
      </c>
      <c r="G97">
        <v>211.87</v>
      </c>
      <c r="H97" s="8">
        <v>0</v>
      </c>
      <c r="I97" s="8">
        <v>211.87</v>
      </c>
    </row>
    <row r="98" spans="1:9" x14ac:dyDescent="0.25">
      <c r="A98">
        <v>97</v>
      </c>
      <c r="B98" t="s">
        <v>103</v>
      </c>
      <c r="C98">
        <v>3</v>
      </c>
      <c r="D98">
        <v>202</v>
      </c>
      <c r="E98">
        <v>46</v>
      </c>
      <c r="F98">
        <v>2</v>
      </c>
      <c r="G98">
        <v>157</v>
      </c>
      <c r="H98" s="8">
        <v>0</v>
      </c>
      <c r="I98" s="8">
        <v>314</v>
      </c>
    </row>
    <row r="99" spans="1:9" x14ac:dyDescent="0.25">
      <c r="A99">
        <v>98</v>
      </c>
      <c r="B99" t="s">
        <v>104</v>
      </c>
      <c r="C99">
        <v>1</v>
      </c>
      <c r="D99">
        <v>130</v>
      </c>
      <c r="E99">
        <v>93</v>
      </c>
      <c r="F99">
        <v>1</v>
      </c>
      <c r="G99">
        <v>239.23</v>
      </c>
      <c r="H99" s="8">
        <v>0.2</v>
      </c>
      <c r="I99" s="8">
        <v>191.38</v>
      </c>
    </row>
    <row r="100" spans="1:9" x14ac:dyDescent="0.25">
      <c r="A100">
        <v>99</v>
      </c>
      <c r="B100" t="s">
        <v>105</v>
      </c>
      <c r="C100">
        <v>8</v>
      </c>
      <c r="D100">
        <v>140</v>
      </c>
      <c r="E100">
        <v>9</v>
      </c>
      <c r="F100">
        <v>1</v>
      </c>
      <c r="G100">
        <v>152.78</v>
      </c>
      <c r="H100" s="8">
        <v>0</v>
      </c>
      <c r="I100" s="8">
        <v>152.78</v>
      </c>
    </row>
    <row r="101" spans="1:9" x14ac:dyDescent="0.25">
      <c r="A101">
        <v>100</v>
      </c>
      <c r="B101" t="s">
        <v>106</v>
      </c>
      <c r="C101">
        <v>6</v>
      </c>
      <c r="D101">
        <v>3</v>
      </c>
      <c r="E101">
        <v>89</v>
      </c>
      <c r="F101">
        <v>2</v>
      </c>
      <c r="G101">
        <v>247.43</v>
      </c>
      <c r="H101" s="8">
        <v>0.05</v>
      </c>
      <c r="I101" s="8">
        <v>470.12</v>
      </c>
    </row>
    <row r="102" spans="1:9" x14ac:dyDescent="0.25">
      <c r="A102">
        <v>101</v>
      </c>
      <c r="B102" t="s">
        <v>107</v>
      </c>
      <c r="C102">
        <v>2</v>
      </c>
      <c r="D102">
        <v>69</v>
      </c>
      <c r="E102">
        <v>97</v>
      </c>
      <c r="F102">
        <v>1</v>
      </c>
      <c r="G102">
        <v>158.26</v>
      </c>
      <c r="H102" s="8">
        <v>0.1</v>
      </c>
      <c r="I102" s="8">
        <v>142.43</v>
      </c>
    </row>
    <row r="103" spans="1:9" x14ac:dyDescent="0.25">
      <c r="A103">
        <v>102</v>
      </c>
      <c r="B103" t="s">
        <v>97</v>
      </c>
      <c r="C103">
        <v>6</v>
      </c>
      <c r="D103">
        <v>89</v>
      </c>
      <c r="E103">
        <v>49</v>
      </c>
      <c r="F103">
        <v>1</v>
      </c>
      <c r="G103">
        <v>130.58000000000001</v>
      </c>
      <c r="H103" s="8">
        <v>0</v>
      </c>
      <c r="I103" s="8">
        <v>130.58000000000001</v>
      </c>
    </row>
    <row r="104" spans="1:9" x14ac:dyDescent="0.25">
      <c r="A104">
        <v>103</v>
      </c>
      <c r="B104" t="s">
        <v>40</v>
      </c>
      <c r="C104">
        <v>3</v>
      </c>
      <c r="D104">
        <v>127</v>
      </c>
      <c r="E104">
        <v>13</v>
      </c>
      <c r="F104">
        <v>2</v>
      </c>
      <c r="G104">
        <v>262.70999999999998</v>
      </c>
      <c r="H104" s="8">
        <v>0</v>
      </c>
      <c r="I104" s="8">
        <v>525.41999999999996</v>
      </c>
    </row>
    <row r="105" spans="1:9" x14ac:dyDescent="0.25">
      <c r="A105">
        <v>104</v>
      </c>
      <c r="B105" t="s">
        <v>108</v>
      </c>
      <c r="C105">
        <v>3</v>
      </c>
      <c r="D105">
        <v>178</v>
      </c>
      <c r="E105">
        <v>33</v>
      </c>
      <c r="F105">
        <v>1</v>
      </c>
      <c r="G105">
        <v>21.23</v>
      </c>
      <c r="H105" s="8">
        <v>0.05</v>
      </c>
      <c r="I105" s="8">
        <v>20.170000000000002</v>
      </c>
    </row>
    <row r="106" spans="1:9" x14ac:dyDescent="0.25">
      <c r="A106">
        <v>105</v>
      </c>
      <c r="B106" t="s">
        <v>109</v>
      </c>
      <c r="C106">
        <v>5</v>
      </c>
      <c r="D106">
        <v>188</v>
      </c>
      <c r="E106">
        <v>30</v>
      </c>
      <c r="F106">
        <v>2</v>
      </c>
      <c r="G106">
        <v>19.399999999999999</v>
      </c>
      <c r="H106" s="8">
        <v>0.05</v>
      </c>
      <c r="I106" s="8">
        <v>36.86</v>
      </c>
    </row>
    <row r="107" spans="1:9" x14ac:dyDescent="0.25">
      <c r="A107">
        <v>106</v>
      </c>
      <c r="B107" t="s">
        <v>110</v>
      </c>
      <c r="C107">
        <v>5</v>
      </c>
      <c r="D107">
        <v>33</v>
      </c>
      <c r="E107">
        <v>89</v>
      </c>
      <c r="F107">
        <v>3</v>
      </c>
      <c r="G107">
        <v>247.43</v>
      </c>
      <c r="H107" s="8">
        <v>0</v>
      </c>
      <c r="I107" s="8">
        <v>742.29</v>
      </c>
    </row>
    <row r="108" spans="1:9" x14ac:dyDescent="0.25">
      <c r="A108">
        <v>107</v>
      </c>
      <c r="B108" t="s">
        <v>111</v>
      </c>
      <c r="C108">
        <v>5</v>
      </c>
      <c r="D108">
        <v>95</v>
      </c>
      <c r="E108">
        <v>88</v>
      </c>
      <c r="F108">
        <v>1</v>
      </c>
      <c r="G108">
        <v>181.05</v>
      </c>
      <c r="H108" s="8">
        <v>0.05</v>
      </c>
      <c r="I108" s="8">
        <v>172</v>
      </c>
    </row>
    <row r="109" spans="1:9" x14ac:dyDescent="0.25">
      <c r="A109">
        <v>108</v>
      </c>
      <c r="B109" t="s">
        <v>112</v>
      </c>
      <c r="C109">
        <v>2</v>
      </c>
      <c r="D109">
        <v>150</v>
      </c>
      <c r="E109">
        <v>29</v>
      </c>
      <c r="F109">
        <v>2</v>
      </c>
      <c r="G109">
        <v>138.6</v>
      </c>
      <c r="H109" s="8">
        <v>0.05</v>
      </c>
      <c r="I109" s="8">
        <v>263.33999999999997</v>
      </c>
    </row>
    <row r="110" spans="1:9" x14ac:dyDescent="0.25">
      <c r="A110">
        <v>109</v>
      </c>
      <c r="B110" t="s">
        <v>113</v>
      </c>
      <c r="C110">
        <v>2</v>
      </c>
      <c r="D110">
        <v>102</v>
      </c>
      <c r="E110">
        <v>28</v>
      </c>
      <c r="F110">
        <v>1</v>
      </c>
      <c r="G110">
        <v>162.13</v>
      </c>
      <c r="H110" s="8">
        <v>0</v>
      </c>
      <c r="I110" s="8">
        <v>162.13</v>
      </c>
    </row>
    <row r="111" spans="1:9" x14ac:dyDescent="0.25">
      <c r="A111">
        <v>110</v>
      </c>
      <c r="B111" t="s">
        <v>114</v>
      </c>
      <c r="C111">
        <v>4</v>
      </c>
      <c r="D111">
        <v>84</v>
      </c>
      <c r="E111">
        <v>12</v>
      </c>
      <c r="F111">
        <v>1</v>
      </c>
      <c r="G111">
        <v>236.84</v>
      </c>
      <c r="H111" s="8">
        <v>0.15</v>
      </c>
      <c r="I111" s="8">
        <v>201.31</v>
      </c>
    </row>
    <row r="112" spans="1:9" x14ac:dyDescent="0.25">
      <c r="A112">
        <v>111</v>
      </c>
      <c r="B112" t="s">
        <v>115</v>
      </c>
      <c r="C112">
        <v>6</v>
      </c>
      <c r="D112">
        <v>67</v>
      </c>
      <c r="E112">
        <v>78</v>
      </c>
      <c r="F112">
        <v>2</v>
      </c>
      <c r="G112">
        <v>25.66</v>
      </c>
      <c r="H112" s="8">
        <v>0.05</v>
      </c>
      <c r="I112" s="8">
        <v>48.75</v>
      </c>
    </row>
    <row r="113" spans="1:9" x14ac:dyDescent="0.25">
      <c r="A113">
        <v>112</v>
      </c>
      <c r="B113" t="s">
        <v>116</v>
      </c>
      <c r="C113">
        <v>7</v>
      </c>
      <c r="D113">
        <v>137</v>
      </c>
      <c r="E113">
        <v>3</v>
      </c>
      <c r="F113">
        <v>2</v>
      </c>
      <c r="G113">
        <v>190.58</v>
      </c>
      <c r="H113" s="8">
        <v>0</v>
      </c>
      <c r="I113" s="8">
        <v>381.16</v>
      </c>
    </row>
    <row r="114" spans="1:9" x14ac:dyDescent="0.25">
      <c r="A114">
        <v>113</v>
      </c>
      <c r="B114" t="s">
        <v>117</v>
      </c>
      <c r="C114">
        <v>5</v>
      </c>
      <c r="D114">
        <v>58</v>
      </c>
      <c r="E114">
        <v>75</v>
      </c>
      <c r="F114">
        <v>1</v>
      </c>
      <c r="G114">
        <v>205.69</v>
      </c>
      <c r="H114" s="8">
        <v>0</v>
      </c>
      <c r="I114" s="8">
        <v>205.69</v>
      </c>
    </row>
    <row r="115" spans="1:9" x14ac:dyDescent="0.25">
      <c r="A115">
        <v>114</v>
      </c>
      <c r="B115" t="s">
        <v>118</v>
      </c>
      <c r="C115">
        <v>8</v>
      </c>
      <c r="D115">
        <v>21</v>
      </c>
      <c r="E115">
        <v>44</v>
      </c>
      <c r="F115">
        <v>1</v>
      </c>
      <c r="G115">
        <v>235.19</v>
      </c>
      <c r="H115" s="8">
        <v>0.05</v>
      </c>
      <c r="I115" s="8">
        <v>223.43</v>
      </c>
    </row>
    <row r="116" spans="1:9" x14ac:dyDescent="0.25">
      <c r="A116">
        <v>115</v>
      </c>
      <c r="B116" t="s">
        <v>119</v>
      </c>
      <c r="C116">
        <v>5</v>
      </c>
      <c r="D116">
        <v>182</v>
      </c>
      <c r="E116">
        <v>88</v>
      </c>
      <c r="F116">
        <v>1</v>
      </c>
      <c r="G116">
        <v>181.05</v>
      </c>
      <c r="H116" s="8">
        <v>0.1</v>
      </c>
      <c r="I116" s="8">
        <v>162.94999999999999</v>
      </c>
    </row>
    <row r="117" spans="1:9" x14ac:dyDescent="0.25">
      <c r="A117">
        <v>116</v>
      </c>
      <c r="B117" t="s">
        <v>58</v>
      </c>
      <c r="C117">
        <v>6</v>
      </c>
      <c r="D117">
        <v>193</v>
      </c>
      <c r="E117">
        <v>11</v>
      </c>
      <c r="F117">
        <v>1</v>
      </c>
      <c r="G117">
        <v>11.53</v>
      </c>
      <c r="H117" s="8">
        <v>0</v>
      </c>
      <c r="I117" s="8">
        <v>11.53</v>
      </c>
    </row>
    <row r="118" spans="1:9" x14ac:dyDescent="0.25">
      <c r="A118">
        <v>117</v>
      </c>
      <c r="B118" t="s">
        <v>120</v>
      </c>
      <c r="C118">
        <v>4</v>
      </c>
      <c r="D118">
        <v>15</v>
      </c>
      <c r="E118">
        <v>52</v>
      </c>
      <c r="F118">
        <v>2</v>
      </c>
      <c r="G118">
        <v>196.75</v>
      </c>
      <c r="H118" s="8">
        <v>0</v>
      </c>
      <c r="I118" s="8">
        <v>393.5</v>
      </c>
    </row>
    <row r="119" spans="1:9" x14ac:dyDescent="0.25">
      <c r="A119">
        <v>118</v>
      </c>
      <c r="B119" t="s">
        <v>121</v>
      </c>
      <c r="C119">
        <v>1</v>
      </c>
      <c r="D119">
        <v>174</v>
      </c>
      <c r="E119">
        <v>13</v>
      </c>
      <c r="F119">
        <v>1</v>
      </c>
      <c r="G119">
        <v>262.70999999999998</v>
      </c>
      <c r="H119" s="8">
        <v>0</v>
      </c>
      <c r="I119" s="8">
        <v>262.70999999999998</v>
      </c>
    </row>
    <row r="120" spans="1:9" x14ac:dyDescent="0.25">
      <c r="A120">
        <v>119</v>
      </c>
      <c r="B120" t="s">
        <v>122</v>
      </c>
      <c r="C120">
        <v>4</v>
      </c>
      <c r="D120">
        <v>212</v>
      </c>
      <c r="E120">
        <v>38</v>
      </c>
      <c r="F120">
        <v>1</v>
      </c>
      <c r="G120">
        <v>35.35</v>
      </c>
      <c r="H120" s="8">
        <v>0.1</v>
      </c>
      <c r="I120" s="8">
        <v>31.82</v>
      </c>
    </row>
    <row r="121" spans="1:9" x14ac:dyDescent="0.25">
      <c r="A121">
        <v>120</v>
      </c>
      <c r="B121" t="s">
        <v>123</v>
      </c>
      <c r="C121">
        <v>8</v>
      </c>
      <c r="D121">
        <v>94</v>
      </c>
      <c r="E121">
        <v>59</v>
      </c>
      <c r="F121">
        <v>1</v>
      </c>
      <c r="G121">
        <v>17.41</v>
      </c>
      <c r="H121" s="8">
        <v>0.15</v>
      </c>
      <c r="I121" s="8">
        <v>14.8</v>
      </c>
    </row>
    <row r="122" spans="1:9" x14ac:dyDescent="0.25">
      <c r="A122">
        <v>121</v>
      </c>
      <c r="B122" t="s">
        <v>124</v>
      </c>
      <c r="C122">
        <v>7</v>
      </c>
      <c r="D122">
        <v>164</v>
      </c>
      <c r="E122">
        <v>77</v>
      </c>
      <c r="F122">
        <v>1</v>
      </c>
      <c r="G122">
        <v>226.88</v>
      </c>
      <c r="H122" s="8">
        <v>0.15</v>
      </c>
      <c r="I122" s="8">
        <v>192.85</v>
      </c>
    </row>
    <row r="123" spans="1:9" x14ac:dyDescent="0.25">
      <c r="A123">
        <v>122</v>
      </c>
      <c r="B123" t="s">
        <v>125</v>
      </c>
      <c r="C123">
        <v>3</v>
      </c>
      <c r="D123">
        <v>140</v>
      </c>
      <c r="E123">
        <v>71</v>
      </c>
      <c r="F123">
        <v>1</v>
      </c>
      <c r="G123">
        <v>225.61</v>
      </c>
      <c r="H123" s="8">
        <v>0.2</v>
      </c>
      <c r="I123" s="8">
        <v>180.49</v>
      </c>
    </row>
    <row r="124" spans="1:9" x14ac:dyDescent="0.25">
      <c r="A124">
        <v>123</v>
      </c>
      <c r="B124" t="s">
        <v>126</v>
      </c>
      <c r="C124">
        <v>1</v>
      </c>
      <c r="D124">
        <v>157</v>
      </c>
      <c r="E124">
        <v>68</v>
      </c>
      <c r="F124">
        <v>1</v>
      </c>
      <c r="G124">
        <v>198.56</v>
      </c>
      <c r="H124" s="8">
        <v>0</v>
      </c>
      <c r="I124" s="8">
        <v>198.56</v>
      </c>
    </row>
    <row r="125" spans="1:9" x14ac:dyDescent="0.25">
      <c r="A125">
        <v>124</v>
      </c>
      <c r="B125" t="s">
        <v>127</v>
      </c>
      <c r="C125">
        <v>8</v>
      </c>
      <c r="D125">
        <v>144</v>
      </c>
      <c r="E125">
        <v>79</v>
      </c>
      <c r="F125">
        <v>2</v>
      </c>
      <c r="G125">
        <v>117.59</v>
      </c>
      <c r="H125" s="8">
        <v>0.15</v>
      </c>
      <c r="I125" s="8">
        <v>199.9</v>
      </c>
    </row>
    <row r="126" spans="1:9" x14ac:dyDescent="0.25">
      <c r="A126">
        <v>125</v>
      </c>
      <c r="B126" t="s">
        <v>128</v>
      </c>
      <c r="C126">
        <v>2</v>
      </c>
      <c r="D126">
        <v>118</v>
      </c>
      <c r="E126">
        <v>47</v>
      </c>
      <c r="F126">
        <v>2</v>
      </c>
      <c r="G126">
        <v>93.41</v>
      </c>
      <c r="H126" s="8">
        <v>0</v>
      </c>
      <c r="I126" s="8">
        <v>186.82</v>
      </c>
    </row>
    <row r="127" spans="1:9" x14ac:dyDescent="0.25">
      <c r="A127">
        <v>126</v>
      </c>
      <c r="B127" t="s">
        <v>72</v>
      </c>
      <c r="C127">
        <v>3</v>
      </c>
      <c r="D127">
        <v>92</v>
      </c>
      <c r="E127">
        <v>41</v>
      </c>
      <c r="F127">
        <v>1</v>
      </c>
      <c r="G127">
        <v>45.5</v>
      </c>
      <c r="H127" s="8">
        <v>0.15</v>
      </c>
      <c r="I127" s="8">
        <v>38.67</v>
      </c>
    </row>
    <row r="128" spans="1:9" x14ac:dyDescent="0.25">
      <c r="A128">
        <v>127</v>
      </c>
      <c r="B128" t="s">
        <v>129</v>
      </c>
      <c r="C128">
        <v>8</v>
      </c>
      <c r="D128">
        <v>108</v>
      </c>
      <c r="E128">
        <v>50</v>
      </c>
      <c r="F128">
        <v>2</v>
      </c>
      <c r="G128">
        <v>52.54</v>
      </c>
      <c r="H128" s="8">
        <v>0</v>
      </c>
      <c r="I128" s="8">
        <v>105.08</v>
      </c>
    </row>
    <row r="129" spans="1:9" x14ac:dyDescent="0.25">
      <c r="A129">
        <v>128</v>
      </c>
      <c r="B129" t="s">
        <v>130</v>
      </c>
      <c r="C129">
        <v>7</v>
      </c>
      <c r="D129">
        <v>86</v>
      </c>
      <c r="E129">
        <v>29</v>
      </c>
      <c r="F129">
        <v>1</v>
      </c>
      <c r="G129">
        <v>138.6</v>
      </c>
      <c r="H129" s="8">
        <v>0.15</v>
      </c>
      <c r="I129" s="8">
        <v>117.81</v>
      </c>
    </row>
    <row r="130" spans="1:9" x14ac:dyDescent="0.25">
      <c r="A130">
        <v>129</v>
      </c>
      <c r="B130" t="s">
        <v>131</v>
      </c>
      <c r="C130">
        <v>7</v>
      </c>
      <c r="D130">
        <v>40</v>
      </c>
      <c r="E130">
        <v>12</v>
      </c>
      <c r="F130">
        <v>1</v>
      </c>
      <c r="G130">
        <v>236.84</v>
      </c>
      <c r="H130" s="8">
        <v>0</v>
      </c>
      <c r="I130" s="8">
        <v>236.84</v>
      </c>
    </row>
    <row r="131" spans="1:9" x14ac:dyDescent="0.25">
      <c r="A131">
        <v>130</v>
      </c>
      <c r="B131" t="s">
        <v>132</v>
      </c>
      <c r="C131">
        <v>8</v>
      </c>
      <c r="D131">
        <v>3</v>
      </c>
      <c r="E131">
        <v>41</v>
      </c>
      <c r="F131">
        <v>1</v>
      </c>
      <c r="G131">
        <v>45.5</v>
      </c>
      <c r="H131" s="8">
        <v>0</v>
      </c>
      <c r="I131" s="8">
        <v>45.5</v>
      </c>
    </row>
    <row r="132" spans="1:9" x14ac:dyDescent="0.25">
      <c r="A132">
        <v>131</v>
      </c>
      <c r="B132" t="s">
        <v>35</v>
      </c>
      <c r="C132">
        <v>5</v>
      </c>
      <c r="D132">
        <v>120</v>
      </c>
      <c r="E132">
        <v>44</v>
      </c>
      <c r="F132">
        <v>2</v>
      </c>
      <c r="G132">
        <v>235.19</v>
      </c>
      <c r="H132" s="8">
        <v>0.1</v>
      </c>
      <c r="I132" s="8">
        <v>423.34</v>
      </c>
    </row>
    <row r="133" spans="1:9" x14ac:dyDescent="0.25">
      <c r="A133">
        <v>132</v>
      </c>
      <c r="B133" t="s">
        <v>133</v>
      </c>
      <c r="C133">
        <v>6</v>
      </c>
      <c r="D133">
        <v>146</v>
      </c>
      <c r="E133">
        <v>37</v>
      </c>
      <c r="F133">
        <v>1</v>
      </c>
      <c r="G133">
        <v>88.87</v>
      </c>
      <c r="H133" s="8">
        <v>0</v>
      </c>
      <c r="I133" s="8">
        <v>88.87</v>
      </c>
    </row>
    <row r="134" spans="1:9" x14ac:dyDescent="0.25">
      <c r="A134">
        <v>133</v>
      </c>
      <c r="B134" t="s">
        <v>134</v>
      </c>
      <c r="C134">
        <v>8</v>
      </c>
      <c r="D134">
        <v>97</v>
      </c>
      <c r="E134">
        <v>84</v>
      </c>
      <c r="F134">
        <v>2</v>
      </c>
      <c r="G134">
        <v>26.78</v>
      </c>
      <c r="H134" s="8">
        <v>0</v>
      </c>
      <c r="I134" s="8">
        <v>53.56</v>
      </c>
    </row>
    <row r="135" spans="1:9" x14ac:dyDescent="0.25">
      <c r="A135">
        <v>134</v>
      </c>
      <c r="B135" t="s">
        <v>135</v>
      </c>
      <c r="C135">
        <v>4</v>
      </c>
      <c r="D135">
        <v>154</v>
      </c>
      <c r="E135">
        <v>81</v>
      </c>
      <c r="F135">
        <v>1</v>
      </c>
      <c r="G135">
        <v>225.3</v>
      </c>
      <c r="H135" s="8">
        <v>0</v>
      </c>
      <c r="I135" s="8">
        <v>225.3</v>
      </c>
    </row>
    <row r="136" spans="1:9" x14ac:dyDescent="0.25">
      <c r="A136">
        <v>135</v>
      </c>
      <c r="B136" t="s">
        <v>136</v>
      </c>
      <c r="C136">
        <v>2</v>
      </c>
      <c r="D136">
        <v>190</v>
      </c>
      <c r="E136">
        <v>20</v>
      </c>
      <c r="F136">
        <v>1</v>
      </c>
      <c r="G136">
        <v>85.89</v>
      </c>
      <c r="H136" s="8">
        <v>0</v>
      </c>
      <c r="I136" s="8">
        <v>85.89</v>
      </c>
    </row>
    <row r="137" spans="1:9" x14ac:dyDescent="0.25">
      <c r="A137">
        <v>136</v>
      </c>
      <c r="B137" t="s">
        <v>137</v>
      </c>
      <c r="C137">
        <v>6</v>
      </c>
      <c r="D137">
        <v>182</v>
      </c>
      <c r="E137">
        <v>28</v>
      </c>
      <c r="F137">
        <v>1</v>
      </c>
      <c r="G137">
        <v>162.13</v>
      </c>
      <c r="H137" s="8">
        <v>0</v>
      </c>
      <c r="I137" s="8">
        <v>162.13</v>
      </c>
    </row>
    <row r="138" spans="1:9" x14ac:dyDescent="0.25">
      <c r="A138">
        <v>137</v>
      </c>
      <c r="B138" t="s">
        <v>138</v>
      </c>
      <c r="C138">
        <v>7</v>
      </c>
      <c r="D138">
        <v>18</v>
      </c>
      <c r="E138">
        <v>45</v>
      </c>
      <c r="F138">
        <v>4</v>
      </c>
      <c r="G138">
        <v>70.989999999999995</v>
      </c>
      <c r="H138" s="8">
        <v>0.2</v>
      </c>
      <c r="I138" s="8">
        <v>227.17</v>
      </c>
    </row>
    <row r="139" spans="1:9" x14ac:dyDescent="0.25">
      <c r="A139">
        <v>138</v>
      </c>
      <c r="B139" t="s">
        <v>139</v>
      </c>
      <c r="C139">
        <v>4</v>
      </c>
      <c r="D139">
        <v>143</v>
      </c>
      <c r="E139">
        <v>1</v>
      </c>
      <c r="F139">
        <v>1</v>
      </c>
      <c r="G139">
        <v>90.53</v>
      </c>
      <c r="H139" s="8">
        <v>0.05</v>
      </c>
      <c r="I139" s="8">
        <v>86</v>
      </c>
    </row>
    <row r="140" spans="1:9" x14ac:dyDescent="0.25">
      <c r="A140">
        <v>139</v>
      </c>
      <c r="B140" t="s">
        <v>140</v>
      </c>
      <c r="C140">
        <v>8</v>
      </c>
      <c r="D140">
        <v>85</v>
      </c>
      <c r="E140">
        <v>17</v>
      </c>
      <c r="F140">
        <v>1</v>
      </c>
      <c r="G140">
        <v>97.14</v>
      </c>
      <c r="H140" s="8">
        <v>0</v>
      </c>
      <c r="I140" s="8">
        <v>97.14</v>
      </c>
    </row>
    <row r="141" spans="1:9" x14ac:dyDescent="0.25">
      <c r="A141">
        <v>140</v>
      </c>
      <c r="B141" t="s">
        <v>141</v>
      </c>
      <c r="C141">
        <v>4</v>
      </c>
      <c r="D141">
        <v>218</v>
      </c>
      <c r="E141">
        <v>1</v>
      </c>
      <c r="F141">
        <v>1</v>
      </c>
      <c r="G141">
        <v>90.53</v>
      </c>
      <c r="H141" s="8">
        <v>0</v>
      </c>
      <c r="I141" s="8">
        <v>90.53</v>
      </c>
    </row>
    <row r="142" spans="1:9" x14ac:dyDescent="0.25">
      <c r="A142">
        <v>141</v>
      </c>
      <c r="B142" t="s">
        <v>142</v>
      </c>
      <c r="C142">
        <v>1</v>
      </c>
      <c r="D142">
        <v>10</v>
      </c>
      <c r="E142">
        <v>2</v>
      </c>
      <c r="F142">
        <v>1</v>
      </c>
      <c r="G142">
        <v>274.16000000000003</v>
      </c>
      <c r="H142" s="8">
        <v>0.2</v>
      </c>
      <c r="I142" s="8">
        <v>219.33</v>
      </c>
    </row>
    <row r="143" spans="1:9" x14ac:dyDescent="0.25">
      <c r="A143">
        <v>142</v>
      </c>
      <c r="B143" t="s">
        <v>143</v>
      </c>
      <c r="C143">
        <v>4</v>
      </c>
      <c r="D143">
        <v>119</v>
      </c>
      <c r="E143">
        <v>62</v>
      </c>
      <c r="F143">
        <v>2</v>
      </c>
      <c r="G143">
        <v>82.81</v>
      </c>
      <c r="H143" s="8">
        <v>0</v>
      </c>
      <c r="I143" s="8">
        <v>165.62</v>
      </c>
    </row>
    <row r="144" spans="1:9" x14ac:dyDescent="0.25">
      <c r="A144">
        <v>143</v>
      </c>
      <c r="B144" t="s">
        <v>144</v>
      </c>
      <c r="C144">
        <v>4</v>
      </c>
      <c r="D144">
        <v>80</v>
      </c>
      <c r="E144">
        <v>86</v>
      </c>
      <c r="F144">
        <v>1</v>
      </c>
      <c r="G144">
        <v>99.19</v>
      </c>
      <c r="H144" s="8">
        <v>0.15</v>
      </c>
      <c r="I144" s="8">
        <v>84.31</v>
      </c>
    </row>
    <row r="145" spans="1:9" x14ac:dyDescent="0.25">
      <c r="A145">
        <v>144</v>
      </c>
      <c r="B145" t="s">
        <v>145</v>
      </c>
      <c r="C145">
        <v>4</v>
      </c>
      <c r="D145">
        <v>189</v>
      </c>
      <c r="E145">
        <v>81</v>
      </c>
      <c r="F145">
        <v>1</v>
      </c>
      <c r="G145">
        <v>225.3</v>
      </c>
      <c r="H145" s="8">
        <v>0.15</v>
      </c>
      <c r="I145" s="8">
        <v>191.5</v>
      </c>
    </row>
    <row r="146" spans="1:9" x14ac:dyDescent="0.25">
      <c r="A146">
        <v>145</v>
      </c>
      <c r="B146" t="s">
        <v>146</v>
      </c>
      <c r="C146">
        <v>4</v>
      </c>
      <c r="D146">
        <v>214</v>
      </c>
      <c r="E146">
        <v>78</v>
      </c>
      <c r="F146">
        <v>1</v>
      </c>
      <c r="G146">
        <v>25.66</v>
      </c>
      <c r="H146" s="8">
        <v>0</v>
      </c>
      <c r="I146" s="8">
        <v>25.66</v>
      </c>
    </row>
    <row r="147" spans="1:9" x14ac:dyDescent="0.25">
      <c r="A147">
        <v>146</v>
      </c>
      <c r="B147" t="s">
        <v>69</v>
      </c>
      <c r="C147">
        <v>3</v>
      </c>
      <c r="D147">
        <v>182</v>
      </c>
      <c r="E147">
        <v>73</v>
      </c>
      <c r="F147">
        <v>1</v>
      </c>
      <c r="G147">
        <v>8.39</v>
      </c>
      <c r="H147" s="8">
        <v>0</v>
      </c>
      <c r="I147" s="8">
        <v>8.39</v>
      </c>
    </row>
    <row r="148" spans="1:9" x14ac:dyDescent="0.25">
      <c r="A148">
        <v>147</v>
      </c>
      <c r="B148" t="s">
        <v>48</v>
      </c>
      <c r="C148">
        <v>5</v>
      </c>
      <c r="D148">
        <v>32</v>
      </c>
      <c r="E148">
        <v>97</v>
      </c>
      <c r="F148">
        <v>1</v>
      </c>
      <c r="G148">
        <v>158.26</v>
      </c>
      <c r="H148" s="8">
        <v>0</v>
      </c>
      <c r="I148" s="8">
        <v>158.26</v>
      </c>
    </row>
    <row r="149" spans="1:9" x14ac:dyDescent="0.25">
      <c r="A149">
        <v>148</v>
      </c>
      <c r="B149" t="s">
        <v>147</v>
      </c>
      <c r="C149">
        <v>3</v>
      </c>
      <c r="D149">
        <v>210</v>
      </c>
      <c r="E149">
        <v>15</v>
      </c>
      <c r="F149">
        <v>1</v>
      </c>
      <c r="G149">
        <v>58.26</v>
      </c>
      <c r="H149" s="8">
        <v>0.05</v>
      </c>
      <c r="I149" s="8">
        <v>55.35</v>
      </c>
    </row>
    <row r="150" spans="1:9" x14ac:dyDescent="0.25">
      <c r="A150">
        <v>149</v>
      </c>
      <c r="B150" t="s">
        <v>103</v>
      </c>
      <c r="C150">
        <v>3</v>
      </c>
      <c r="D150">
        <v>97</v>
      </c>
      <c r="E150">
        <v>45</v>
      </c>
      <c r="F150">
        <v>1</v>
      </c>
      <c r="G150">
        <v>70.989999999999995</v>
      </c>
      <c r="H150" s="8">
        <v>0.1</v>
      </c>
      <c r="I150" s="8">
        <v>63.89</v>
      </c>
    </row>
    <row r="151" spans="1:9" x14ac:dyDescent="0.25">
      <c r="A151">
        <v>150</v>
      </c>
      <c r="B151" t="s">
        <v>148</v>
      </c>
      <c r="C151">
        <v>1</v>
      </c>
      <c r="D151">
        <v>6</v>
      </c>
      <c r="E151">
        <v>58</v>
      </c>
      <c r="F151">
        <v>1</v>
      </c>
      <c r="G151">
        <v>64.400000000000006</v>
      </c>
      <c r="H151" s="8">
        <v>0.2</v>
      </c>
      <c r="I151" s="8">
        <v>51.52</v>
      </c>
    </row>
    <row r="152" spans="1:9" x14ac:dyDescent="0.25">
      <c r="A152">
        <v>151</v>
      </c>
      <c r="B152" t="s">
        <v>107</v>
      </c>
      <c r="C152">
        <v>1</v>
      </c>
      <c r="D152">
        <v>194</v>
      </c>
      <c r="E152">
        <v>17</v>
      </c>
      <c r="F152">
        <v>1</v>
      </c>
      <c r="G152">
        <v>97.14</v>
      </c>
      <c r="H152" s="8">
        <v>0.2</v>
      </c>
      <c r="I152" s="8">
        <v>77.709999999999994</v>
      </c>
    </row>
    <row r="153" spans="1:9" x14ac:dyDescent="0.25">
      <c r="A153">
        <v>152</v>
      </c>
      <c r="B153" t="s">
        <v>149</v>
      </c>
      <c r="C153">
        <v>4</v>
      </c>
      <c r="D153">
        <v>179</v>
      </c>
      <c r="E153">
        <v>76</v>
      </c>
      <c r="F153">
        <v>1</v>
      </c>
      <c r="G153">
        <v>181.01</v>
      </c>
      <c r="H153" s="8">
        <v>0</v>
      </c>
      <c r="I153" s="8">
        <v>181.01</v>
      </c>
    </row>
    <row r="154" spans="1:9" x14ac:dyDescent="0.25">
      <c r="A154">
        <v>153</v>
      </c>
      <c r="B154" t="s">
        <v>150</v>
      </c>
      <c r="C154">
        <v>1</v>
      </c>
      <c r="D154">
        <v>31</v>
      </c>
      <c r="E154">
        <v>43</v>
      </c>
      <c r="F154">
        <v>2</v>
      </c>
      <c r="G154">
        <v>16.04</v>
      </c>
      <c r="H154" s="8">
        <v>0.05</v>
      </c>
      <c r="I154" s="8">
        <v>30.48</v>
      </c>
    </row>
    <row r="155" spans="1:9" x14ac:dyDescent="0.25">
      <c r="A155">
        <v>154</v>
      </c>
      <c r="B155" t="s">
        <v>151</v>
      </c>
      <c r="C155">
        <v>5</v>
      </c>
      <c r="D155">
        <v>5</v>
      </c>
      <c r="E155">
        <v>16</v>
      </c>
      <c r="F155">
        <v>1</v>
      </c>
      <c r="G155">
        <v>62.77</v>
      </c>
      <c r="H155" s="8">
        <v>0</v>
      </c>
      <c r="I155" s="8">
        <v>62.77</v>
      </c>
    </row>
    <row r="156" spans="1:9" x14ac:dyDescent="0.25">
      <c r="A156">
        <v>155</v>
      </c>
      <c r="B156" t="s">
        <v>152</v>
      </c>
      <c r="C156">
        <v>3</v>
      </c>
      <c r="D156">
        <v>133</v>
      </c>
      <c r="E156">
        <v>96</v>
      </c>
      <c r="F156">
        <v>1</v>
      </c>
      <c r="G156">
        <v>132.69</v>
      </c>
      <c r="H156" s="8">
        <v>0</v>
      </c>
      <c r="I156" s="8">
        <v>132.69</v>
      </c>
    </row>
    <row r="157" spans="1:9" x14ac:dyDescent="0.25">
      <c r="A157">
        <v>156</v>
      </c>
      <c r="B157" t="s">
        <v>153</v>
      </c>
      <c r="C157">
        <v>2</v>
      </c>
      <c r="D157">
        <v>84</v>
      </c>
      <c r="E157">
        <v>19</v>
      </c>
      <c r="F157">
        <v>1</v>
      </c>
      <c r="G157">
        <v>138.31</v>
      </c>
      <c r="H157" s="8">
        <v>0.2</v>
      </c>
      <c r="I157" s="8">
        <v>110.65</v>
      </c>
    </row>
    <row r="158" spans="1:9" x14ac:dyDescent="0.25">
      <c r="A158">
        <v>157</v>
      </c>
      <c r="B158" t="s">
        <v>154</v>
      </c>
      <c r="C158">
        <v>8</v>
      </c>
      <c r="D158">
        <v>192</v>
      </c>
      <c r="E158">
        <v>28</v>
      </c>
      <c r="F158">
        <v>2</v>
      </c>
      <c r="G158">
        <v>162.13</v>
      </c>
      <c r="H158" s="8">
        <v>0</v>
      </c>
      <c r="I158" s="8">
        <v>324.26</v>
      </c>
    </row>
    <row r="159" spans="1:9" x14ac:dyDescent="0.25">
      <c r="A159">
        <v>158</v>
      </c>
      <c r="B159" t="s">
        <v>155</v>
      </c>
      <c r="C159">
        <v>6</v>
      </c>
      <c r="D159">
        <v>184</v>
      </c>
      <c r="E159">
        <v>23</v>
      </c>
      <c r="F159">
        <v>1</v>
      </c>
      <c r="G159">
        <v>79.94</v>
      </c>
      <c r="H159" s="8">
        <v>0.1</v>
      </c>
      <c r="I159" s="8">
        <v>71.95</v>
      </c>
    </row>
    <row r="160" spans="1:9" x14ac:dyDescent="0.25">
      <c r="A160">
        <v>159</v>
      </c>
      <c r="B160" t="s">
        <v>156</v>
      </c>
      <c r="C160">
        <v>8</v>
      </c>
      <c r="D160">
        <v>126</v>
      </c>
      <c r="E160">
        <v>62</v>
      </c>
      <c r="F160">
        <v>2</v>
      </c>
      <c r="G160">
        <v>82.81</v>
      </c>
      <c r="H160" s="8">
        <v>0.2</v>
      </c>
      <c r="I160" s="8">
        <v>132.5</v>
      </c>
    </row>
    <row r="161" spans="1:9" x14ac:dyDescent="0.25">
      <c r="A161">
        <v>160</v>
      </c>
      <c r="B161" t="s">
        <v>157</v>
      </c>
      <c r="C161">
        <v>4</v>
      </c>
      <c r="D161">
        <v>40</v>
      </c>
      <c r="E161">
        <v>56</v>
      </c>
      <c r="F161">
        <v>4</v>
      </c>
      <c r="G161">
        <v>232.81</v>
      </c>
      <c r="H161" s="8">
        <v>0</v>
      </c>
      <c r="I161" s="8">
        <v>931.24</v>
      </c>
    </row>
    <row r="162" spans="1:9" x14ac:dyDescent="0.25">
      <c r="A162">
        <v>161</v>
      </c>
      <c r="B162" t="s">
        <v>158</v>
      </c>
      <c r="C162">
        <v>5</v>
      </c>
      <c r="D162">
        <v>103</v>
      </c>
      <c r="E162">
        <v>71</v>
      </c>
      <c r="F162">
        <v>1</v>
      </c>
      <c r="G162">
        <v>225.61</v>
      </c>
      <c r="H162" s="8">
        <v>0.2</v>
      </c>
      <c r="I162" s="8">
        <v>180.49</v>
      </c>
    </row>
    <row r="163" spans="1:9" x14ac:dyDescent="0.25">
      <c r="A163">
        <v>162</v>
      </c>
      <c r="B163" t="s">
        <v>159</v>
      </c>
      <c r="C163">
        <v>1</v>
      </c>
      <c r="D163">
        <v>129</v>
      </c>
      <c r="E163">
        <v>88</v>
      </c>
      <c r="F163">
        <v>1</v>
      </c>
      <c r="G163">
        <v>181.05</v>
      </c>
      <c r="H163" s="8">
        <v>0</v>
      </c>
      <c r="I163" s="8">
        <v>181.05</v>
      </c>
    </row>
    <row r="164" spans="1:9" x14ac:dyDescent="0.25">
      <c r="A164">
        <v>163</v>
      </c>
      <c r="B164" t="s">
        <v>138</v>
      </c>
      <c r="C164">
        <v>8</v>
      </c>
      <c r="D164">
        <v>137</v>
      </c>
      <c r="E164">
        <v>57</v>
      </c>
      <c r="F164">
        <v>1</v>
      </c>
      <c r="G164">
        <v>32.28</v>
      </c>
      <c r="H164" s="8">
        <v>0</v>
      </c>
      <c r="I164" s="8">
        <v>32.28</v>
      </c>
    </row>
    <row r="165" spans="1:9" x14ac:dyDescent="0.25">
      <c r="A165">
        <v>164</v>
      </c>
      <c r="B165" t="s">
        <v>160</v>
      </c>
      <c r="C165">
        <v>7</v>
      </c>
      <c r="D165">
        <v>109</v>
      </c>
      <c r="E165">
        <v>55</v>
      </c>
      <c r="F165">
        <v>2</v>
      </c>
      <c r="G165">
        <v>193.33</v>
      </c>
      <c r="H165" s="8">
        <v>0</v>
      </c>
      <c r="I165" s="8">
        <v>386.66</v>
      </c>
    </row>
    <row r="166" spans="1:9" x14ac:dyDescent="0.25">
      <c r="A166">
        <v>165</v>
      </c>
      <c r="B166" t="s">
        <v>120</v>
      </c>
      <c r="C166">
        <v>8</v>
      </c>
      <c r="D166">
        <v>120</v>
      </c>
      <c r="E166">
        <v>89</v>
      </c>
      <c r="F166">
        <v>1</v>
      </c>
      <c r="G166">
        <v>247.43</v>
      </c>
      <c r="H166" s="8">
        <v>0</v>
      </c>
      <c r="I166" s="8">
        <v>247.43</v>
      </c>
    </row>
    <row r="167" spans="1:9" x14ac:dyDescent="0.25">
      <c r="A167">
        <v>166</v>
      </c>
      <c r="B167" t="s">
        <v>161</v>
      </c>
      <c r="C167">
        <v>2</v>
      </c>
      <c r="D167">
        <v>134</v>
      </c>
      <c r="E167">
        <v>65</v>
      </c>
      <c r="F167">
        <v>1</v>
      </c>
      <c r="G167">
        <v>71.14</v>
      </c>
      <c r="H167" s="8">
        <v>0</v>
      </c>
      <c r="I167" s="8">
        <v>71.14</v>
      </c>
    </row>
    <row r="168" spans="1:9" x14ac:dyDescent="0.25">
      <c r="A168">
        <v>167</v>
      </c>
      <c r="B168" t="s">
        <v>162</v>
      </c>
      <c r="C168">
        <v>6</v>
      </c>
      <c r="D168">
        <v>71</v>
      </c>
      <c r="E168">
        <v>11</v>
      </c>
      <c r="F168">
        <v>1</v>
      </c>
      <c r="G168">
        <v>11.53</v>
      </c>
      <c r="H168" s="8">
        <v>0.1</v>
      </c>
      <c r="I168" s="8">
        <v>10.38</v>
      </c>
    </row>
    <row r="169" spans="1:9" x14ac:dyDescent="0.25">
      <c r="A169">
        <v>168</v>
      </c>
      <c r="B169" t="s">
        <v>163</v>
      </c>
      <c r="C169">
        <v>2</v>
      </c>
      <c r="D169">
        <v>49</v>
      </c>
      <c r="E169">
        <v>62</v>
      </c>
      <c r="F169">
        <v>1</v>
      </c>
      <c r="G169">
        <v>82.81</v>
      </c>
      <c r="H169" s="8">
        <v>0</v>
      </c>
      <c r="I169" s="8">
        <v>82.81</v>
      </c>
    </row>
    <row r="170" spans="1:9" x14ac:dyDescent="0.25">
      <c r="A170">
        <v>169</v>
      </c>
      <c r="B170" t="s">
        <v>164</v>
      </c>
      <c r="C170">
        <v>5</v>
      </c>
      <c r="D170">
        <v>21</v>
      </c>
      <c r="E170">
        <v>60</v>
      </c>
      <c r="F170">
        <v>1</v>
      </c>
      <c r="G170">
        <v>101.29</v>
      </c>
      <c r="H170" s="8">
        <v>0</v>
      </c>
      <c r="I170" s="8">
        <v>101.29</v>
      </c>
    </row>
    <row r="171" spans="1:9" x14ac:dyDescent="0.25">
      <c r="A171">
        <v>170</v>
      </c>
      <c r="B171" t="s">
        <v>165</v>
      </c>
      <c r="C171">
        <v>7</v>
      </c>
      <c r="D171">
        <v>151</v>
      </c>
      <c r="E171">
        <v>48</v>
      </c>
      <c r="F171">
        <v>2</v>
      </c>
      <c r="G171">
        <v>146.85</v>
      </c>
      <c r="H171" s="8">
        <v>0.1</v>
      </c>
      <c r="I171" s="8">
        <v>264.33</v>
      </c>
    </row>
    <row r="172" spans="1:9" x14ac:dyDescent="0.25">
      <c r="A172">
        <v>171</v>
      </c>
      <c r="B172" t="s">
        <v>166</v>
      </c>
      <c r="C172">
        <v>8</v>
      </c>
      <c r="D172">
        <v>190</v>
      </c>
      <c r="E172">
        <v>63</v>
      </c>
      <c r="F172">
        <v>1</v>
      </c>
      <c r="G172">
        <v>239.9</v>
      </c>
      <c r="H172" s="8">
        <v>0</v>
      </c>
      <c r="I172" s="8">
        <v>239.9</v>
      </c>
    </row>
    <row r="173" spans="1:9" x14ac:dyDescent="0.25">
      <c r="A173">
        <v>172</v>
      </c>
      <c r="B173" t="s">
        <v>167</v>
      </c>
      <c r="C173">
        <v>7</v>
      </c>
      <c r="D173">
        <v>74</v>
      </c>
      <c r="E173">
        <v>86</v>
      </c>
      <c r="F173">
        <v>1</v>
      </c>
      <c r="G173">
        <v>99.19</v>
      </c>
      <c r="H173" s="8">
        <v>0.2</v>
      </c>
      <c r="I173" s="8">
        <v>79.349999999999994</v>
      </c>
    </row>
    <row r="174" spans="1:9" x14ac:dyDescent="0.25">
      <c r="A174">
        <v>173</v>
      </c>
      <c r="B174" t="s">
        <v>168</v>
      </c>
      <c r="C174">
        <v>2</v>
      </c>
      <c r="D174">
        <v>128</v>
      </c>
      <c r="E174">
        <v>49</v>
      </c>
      <c r="F174">
        <v>1</v>
      </c>
      <c r="G174">
        <v>130.58000000000001</v>
      </c>
      <c r="H174" s="8">
        <v>0</v>
      </c>
      <c r="I174" s="8">
        <v>130.58000000000001</v>
      </c>
    </row>
    <row r="175" spans="1:9" x14ac:dyDescent="0.25">
      <c r="A175">
        <v>174</v>
      </c>
      <c r="B175" t="s">
        <v>169</v>
      </c>
      <c r="C175">
        <v>7</v>
      </c>
      <c r="D175">
        <v>216</v>
      </c>
      <c r="E175">
        <v>15</v>
      </c>
      <c r="F175">
        <v>1</v>
      </c>
      <c r="G175">
        <v>58.26</v>
      </c>
      <c r="H175" s="8">
        <v>0.05</v>
      </c>
      <c r="I175" s="8">
        <v>55.35</v>
      </c>
    </row>
    <row r="176" spans="1:9" x14ac:dyDescent="0.25">
      <c r="A176">
        <v>175</v>
      </c>
      <c r="B176" t="s">
        <v>170</v>
      </c>
      <c r="C176">
        <v>4</v>
      </c>
      <c r="D176">
        <v>162</v>
      </c>
      <c r="E176">
        <v>94</v>
      </c>
      <c r="F176">
        <v>2</v>
      </c>
      <c r="G176">
        <v>163.66</v>
      </c>
      <c r="H176" s="8">
        <v>0.05</v>
      </c>
      <c r="I176" s="8">
        <v>310.95</v>
      </c>
    </row>
    <row r="177" spans="1:9" x14ac:dyDescent="0.25">
      <c r="A177">
        <v>176</v>
      </c>
      <c r="B177" t="s">
        <v>171</v>
      </c>
      <c r="C177">
        <v>6</v>
      </c>
      <c r="D177">
        <v>5</v>
      </c>
      <c r="E177">
        <v>75</v>
      </c>
      <c r="F177">
        <v>1</v>
      </c>
      <c r="G177">
        <v>205.69</v>
      </c>
      <c r="H177" s="8">
        <v>0.05</v>
      </c>
      <c r="I177" s="8">
        <v>195.41</v>
      </c>
    </row>
    <row r="178" spans="1:9" x14ac:dyDescent="0.25">
      <c r="A178">
        <v>177</v>
      </c>
      <c r="B178" t="s">
        <v>172</v>
      </c>
      <c r="C178">
        <v>7</v>
      </c>
      <c r="D178">
        <v>28</v>
      </c>
      <c r="E178">
        <v>75</v>
      </c>
      <c r="F178">
        <v>3</v>
      </c>
      <c r="G178">
        <v>205.69</v>
      </c>
      <c r="H178" s="8">
        <v>0.1</v>
      </c>
      <c r="I178" s="8">
        <v>555.36</v>
      </c>
    </row>
    <row r="179" spans="1:9" x14ac:dyDescent="0.25">
      <c r="A179">
        <v>178</v>
      </c>
      <c r="B179" t="s">
        <v>173</v>
      </c>
      <c r="C179">
        <v>2</v>
      </c>
      <c r="D179">
        <v>171</v>
      </c>
      <c r="E179">
        <v>47</v>
      </c>
      <c r="F179">
        <v>1</v>
      </c>
      <c r="G179">
        <v>93.41</v>
      </c>
      <c r="H179" s="8">
        <v>0</v>
      </c>
      <c r="I179" s="8">
        <v>93.41</v>
      </c>
    </row>
    <row r="180" spans="1:9" x14ac:dyDescent="0.25">
      <c r="A180">
        <v>179</v>
      </c>
      <c r="B180" t="s">
        <v>174</v>
      </c>
      <c r="C180">
        <v>7</v>
      </c>
      <c r="D180">
        <v>95</v>
      </c>
      <c r="E180">
        <v>91</v>
      </c>
      <c r="F180">
        <v>1</v>
      </c>
      <c r="G180">
        <v>33.700000000000003</v>
      </c>
      <c r="H180" s="8">
        <v>0</v>
      </c>
      <c r="I180" s="8">
        <v>33.700000000000003</v>
      </c>
    </row>
    <row r="181" spans="1:9" x14ac:dyDescent="0.25">
      <c r="A181">
        <v>180</v>
      </c>
      <c r="B181" t="s">
        <v>174</v>
      </c>
      <c r="C181">
        <v>5</v>
      </c>
      <c r="D181">
        <v>208</v>
      </c>
      <c r="E181">
        <v>36</v>
      </c>
      <c r="F181">
        <v>2</v>
      </c>
      <c r="G181">
        <v>211.43</v>
      </c>
      <c r="H181" s="8">
        <v>0</v>
      </c>
      <c r="I181" s="8">
        <v>422.86</v>
      </c>
    </row>
    <row r="182" spans="1:9" x14ac:dyDescent="0.25">
      <c r="A182">
        <v>181</v>
      </c>
      <c r="B182" t="s">
        <v>175</v>
      </c>
      <c r="C182">
        <v>3</v>
      </c>
      <c r="D182">
        <v>84</v>
      </c>
      <c r="E182">
        <v>37</v>
      </c>
      <c r="F182">
        <v>1</v>
      </c>
      <c r="G182">
        <v>88.87</v>
      </c>
      <c r="H182" s="8">
        <v>0</v>
      </c>
      <c r="I182" s="8">
        <v>88.87</v>
      </c>
    </row>
    <row r="183" spans="1:9" x14ac:dyDescent="0.25">
      <c r="A183">
        <v>182</v>
      </c>
      <c r="B183" t="s">
        <v>176</v>
      </c>
      <c r="C183">
        <v>2</v>
      </c>
      <c r="D183">
        <v>94</v>
      </c>
      <c r="E183">
        <v>24</v>
      </c>
      <c r="F183">
        <v>1</v>
      </c>
      <c r="G183">
        <v>91.73</v>
      </c>
      <c r="H183" s="8">
        <v>0</v>
      </c>
      <c r="I183" s="8">
        <v>91.73</v>
      </c>
    </row>
    <row r="184" spans="1:9" x14ac:dyDescent="0.25">
      <c r="A184">
        <v>183</v>
      </c>
      <c r="B184" t="s">
        <v>14</v>
      </c>
      <c r="C184">
        <v>2</v>
      </c>
      <c r="D184">
        <v>110</v>
      </c>
      <c r="E184">
        <v>58</v>
      </c>
      <c r="F184">
        <v>2</v>
      </c>
      <c r="G184">
        <v>64.400000000000006</v>
      </c>
      <c r="H184" s="8">
        <v>0.1</v>
      </c>
      <c r="I184" s="8">
        <v>115.92</v>
      </c>
    </row>
    <row r="185" spans="1:9" x14ac:dyDescent="0.25">
      <c r="A185">
        <v>184</v>
      </c>
      <c r="B185" t="s">
        <v>177</v>
      </c>
      <c r="C185">
        <v>7</v>
      </c>
      <c r="D185">
        <v>47</v>
      </c>
      <c r="E185">
        <v>14</v>
      </c>
      <c r="F185">
        <v>1</v>
      </c>
      <c r="G185">
        <v>70.08</v>
      </c>
      <c r="H185" s="8">
        <v>0</v>
      </c>
      <c r="I185" s="8">
        <v>70.08</v>
      </c>
    </row>
    <row r="186" spans="1:9" x14ac:dyDescent="0.25">
      <c r="A186">
        <v>185</v>
      </c>
      <c r="B186" t="s">
        <v>178</v>
      </c>
      <c r="C186">
        <v>6</v>
      </c>
      <c r="D186">
        <v>146</v>
      </c>
      <c r="E186">
        <v>57</v>
      </c>
      <c r="F186">
        <v>1</v>
      </c>
      <c r="G186">
        <v>32.28</v>
      </c>
      <c r="H186" s="8">
        <v>0</v>
      </c>
      <c r="I186" s="8">
        <v>32.28</v>
      </c>
    </row>
    <row r="187" spans="1:9" x14ac:dyDescent="0.25">
      <c r="A187">
        <v>186</v>
      </c>
      <c r="B187" t="s">
        <v>179</v>
      </c>
      <c r="C187">
        <v>1</v>
      </c>
      <c r="D187">
        <v>131</v>
      </c>
      <c r="E187">
        <v>67</v>
      </c>
      <c r="F187">
        <v>1</v>
      </c>
      <c r="G187">
        <v>41.9</v>
      </c>
      <c r="H187" s="8">
        <v>0</v>
      </c>
      <c r="I187" s="8">
        <v>41.9</v>
      </c>
    </row>
    <row r="188" spans="1:9" x14ac:dyDescent="0.25">
      <c r="A188">
        <v>187</v>
      </c>
      <c r="B188" t="s">
        <v>18</v>
      </c>
      <c r="C188">
        <v>2</v>
      </c>
      <c r="D188">
        <v>216</v>
      </c>
      <c r="E188">
        <v>13</v>
      </c>
      <c r="F188">
        <v>4</v>
      </c>
      <c r="G188">
        <v>262.70999999999998</v>
      </c>
      <c r="H188" s="8">
        <v>0.05</v>
      </c>
      <c r="I188" s="8">
        <v>998.3</v>
      </c>
    </row>
    <row r="189" spans="1:9" x14ac:dyDescent="0.25">
      <c r="A189">
        <v>188</v>
      </c>
      <c r="B189" t="s">
        <v>56</v>
      </c>
      <c r="C189">
        <v>6</v>
      </c>
      <c r="D189">
        <v>198</v>
      </c>
      <c r="E189">
        <v>14</v>
      </c>
      <c r="F189">
        <v>1</v>
      </c>
      <c r="G189">
        <v>70.08</v>
      </c>
      <c r="H189" s="8">
        <v>0.1</v>
      </c>
      <c r="I189" s="8">
        <v>63.07</v>
      </c>
    </row>
    <row r="190" spans="1:9" x14ac:dyDescent="0.25">
      <c r="A190">
        <v>189</v>
      </c>
      <c r="B190" t="s">
        <v>180</v>
      </c>
      <c r="C190">
        <v>1</v>
      </c>
      <c r="D190">
        <v>91</v>
      </c>
      <c r="E190">
        <v>37</v>
      </c>
      <c r="F190">
        <v>2</v>
      </c>
      <c r="G190">
        <v>88.87</v>
      </c>
      <c r="H190" s="8">
        <v>0.15</v>
      </c>
      <c r="I190" s="8">
        <v>151.08000000000001</v>
      </c>
    </row>
    <row r="191" spans="1:9" x14ac:dyDescent="0.25">
      <c r="A191">
        <v>190</v>
      </c>
      <c r="B191" t="s">
        <v>89</v>
      </c>
      <c r="C191">
        <v>5</v>
      </c>
      <c r="D191">
        <v>138</v>
      </c>
      <c r="E191">
        <v>61</v>
      </c>
      <c r="F191">
        <v>1</v>
      </c>
      <c r="G191">
        <v>106.64</v>
      </c>
      <c r="H191" s="8">
        <v>0.1</v>
      </c>
      <c r="I191" s="8">
        <v>95.98</v>
      </c>
    </row>
    <row r="192" spans="1:9" x14ac:dyDescent="0.25">
      <c r="A192">
        <v>191</v>
      </c>
      <c r="B192" t="s">
        <v>181</v>
      </c>
      <c r="C192">
        <v>2</v>
      </c>
      <c r="D192">
        <v>173</v>
      </c>
      <c r="E192">
        <v>75</v>
      </c>
      <c r="F192">
        <v>1</v>
      </c>
      <c r="G192">
        <v>205.69</v>
      </c>
      <c r="H192" s="8">
        <v>0</v>
      </c>
      <c r="I192" s="8">
        <v>205.69</v>
      </c>
    </row>
    <row r="193" spans="1:9" x14ac:dyDescent="0.25">
      <c r="A193">
        <v>192</v>
      </c>
      <c r="B193" t="s">
        <v>47</v>
      </c>
      <c r="C193">
        <v>4</v>
      </c>
      <c r="D193">
        <v>122</v>
      </c>
      <c r="E193">
        <v>10</v>
      </c>
      <c r="F193">
        <v>2</v>
      </c>
      <c r="G193">
        <v>168.82</v>
      </c>
      <c r="H193" s="8">
        <v>0</v>
      </c>
      <c r="I193" s="8">
        <v>337.64</v>
      </c>
    </row>
    <row r="194" spans="1:9" x14ac:dyDescent="0.25">
      <c r="A194">
        <v>193</v>
      </c>
      <c r="B194" t="s">
        <v>131</v>
      </c>
      <c r="C194">
        <v>8</v>
      </c>
      <c r="D194">
        <v>54</v>
      </c>
      <c r="E194">
        <v>28</v>
      </c>
      <c r="F194">
        <v>1</v>
      </c>
      <c r="G194">
        <v>162.13</v>
      </c>
      <c r="H194" s="8">
        <v>0</v>
      </c>
      <c r="I194" s="8">
        <v>162.13</v>
      </c>
    </row>
    <row r="195" spans="1:9" x14ac:dyDescent="0.25">
      <c r="A195">
        <v>194</v>
      </c>
      <c r="B195" t="s">
        <v>182</v>
      </c>
      <c r="C195">
        <v>2</v>
      </c>
      <c r="D195">
        <v>150</v>
      </c>
      <c r="E195">
        <v>92</v>
      </c>
      <c r="F195">
        <v>1</v>
      </c>
      <c r="G195">
        <v>223.32</v>
      </c>
      <c r="H195" s="8">
        <v>0.05</v>
      </c>
      <c r="I195" s="8">
        <v>212.15</v>
      </c>
    </row>
    <row r="196" spans="1:9" x14ac:dyDescent="0.25">
      <c r="A196">
        <v>195</v>
      </c>
      <c r="B196" t="s">
        <v>183</v>
      </c>
      <c r="C196">
        <v>6</v>
      </c>
      <c r="D196">
        <v>116</v>
      </c>
      <c r="E196">
        <v>71</v>
      </c>
      <c r="F196">
        <v>1</v>
      </c>
      <c r="G196">
        <v>225.61</v>
      </c>
      <c r="H196" s="8">
        <v>0</v>
      </c>
      <c r="I196" s="8">
        <v>225.61</v>
      </c>
    </row>
    <row r="197" spans="1:9" x14ac:dyDescent="0.25">
      <c r="A197">
        <v>196</v>
      </c>
      <c r="B197" t="s">
        <v>184</v>
      </c>
      <c r="C197">
        <v>5</v>
      </c>
      <c r="D197">
        <v>62</v>
      </c>
      <c r="E197">
        <v>31</v>
      </c>
      <c r="F197">
        <v>1</v>
      </c>
      <c r="G197">
        <v>165.45</v>
      </c>
      <c r="H197" s="8">
        <v>0</v>
      </c>
      <c r="I197" s="8">
        <v>165.45</v>
      </c>
    </row>
    <row r="198" spans="1:9" x14ac:dyDescent="0.25">
      <c r="A198">
        <v>197</v>
      </c>
      <c r="B198" t="s">
        <v>185</v>
      </c>
      <c r="C198">
        <v>7</v>
      </c>
      <c r="D198">
        <v>182</v>
      </c>
      <c r="E198">
        <v>39</v>
      </c>
      <c r="F198">
        <v>1</v>
      </c>
      <c r="G198">
        <v>181.34</v>
      </c>
      <c r="H198" s="8">
        <v>0.05</v>
      </c>
      <c r="I198" s="8">
        <v>172.27</v>
      </c>
    </row>
    <row r="199" spans="1:9" x14ac:dyDescent="0.25">
      <c r="A199">
        <v>198</v>
      </c>
      <c r="B199" t="s">
        <v>186</v>
      </c>
      <c r="C199">
        <v>5</v>
      </c>
      <c r="D199">
        <v>63</v>
      </c>
      <c r="E199">
        <v>69</v>
      </c>
      <c r="F199">
        <v>1</v>
      </c>
      <c r="G199">
        <v>22.86</v>
      </c>
      <c r="H199" s="8">
        <v>0</v>
      </c>
      <c r="I199" s="8">
        <v>22.86</v>
      </c>
    </row>
    <row r="200" spans="1:9" x14ac:dyDescent="0.25">
      <c r="A200">
        <v>199</v>
      </c>
      <c r="B200" t="s">
        <v>76</v>
      </c>
      <c r="C200">
        <v>3</v>
      </c>
      <c r="D200">
        <v>110</v>
      </c>
      <c r="E200">
        <v>41</v>
      </c>
      <c r="F200">
        <v>1</v>
      </c>
      <c r="G200">
        <v>45.5</v>
      </c>
      <c r="H200" s="8">
        <v>0</v>
      </c>
      <c r="I200" s="8">
        <v>45.5</v>
      </c>
    </row>
    <row r="201" spans="1:9" x14ac:dyDescent="0.25">
      <c r="A201">
        <v>200</v>
      </c>
      <c r="B201" t="s">
        <v>187</v>
      </c>
      <c r="C201">
        <v>5</v>
      </c>
      <c r="D201">
        <v>25</v>
      </c>
      <c r="E201">
        <v>53</v>
      </c>
      <c r="F201">
        <v>1</v>
      </c>
      <c r="G201">
        <v>229.6</v>
      </c>
      <c r="H201" s="8">
        <v>0.1</v>
      </c>
      <c r="I201" s="8">
        <v>206.64</v>
      </c>
    </row>
    <row r="202" spans="1:9" x14ac:dyDescent="0.25">
      <c r="A202">
        <v>201</v>
      </c>
      <c r="B202" t="s">
        <v>188</v>
      </c>
      <c r="C202">
        <v>6</v>
      </c>
      <c r="D202">
        <v>62</v>
      </c>
      <c r="E202">
        <v>95</v>
      </c>
      <c r="F202">
        <v>1</v>
      </c>
      <c r="G202">
        <v>201.94</v>
      </c>
      <c r="H202" s="8">
        <v>0</v>
      </c>
      <c r="I202" s="8">
        <v>201.94</v>
      </c>
    </row>
    <row r="203" spans="1:9" x14ac:dyDescent="0.25">
      <c r="A203">
        <v>202</v>
      </c>
      <c r="B203" t="s">
        <v>189</v>
      </c>
      <c r="C203">
        <v>3</v>
      </c>
      <c r="D203">
        <v>177</v>
      </c>
      <c r="E203">
        <v>82</v>
      </c>
      <c r="F203">
        <v>2</v>
      </c>
      <c r="G203">
        <v>151.85</v>
      </c>
      <c r="H203" s="8">
        <v>0</v>
      </c>
      <c r="I203" s="8">
        <v>303.7</v>
      </c>
    </row>
    <row r="204" spans="1:9" x14ac:dyDescent="0.25">
      <c r="A204">
        <v>203</v>
      </c>
      <c r="B204" t="s">
        <v>85</v>
      </c>
      <c r="C204">
        <v>7</v>
      </c>
      <c r="D204">
        <v>201</v>
      </c>
      <c r="E204">
        <v>96</v>
      </c>
      <c r="F204">
        <v>1</v>
      </c>
      <c r="G204">
        <v>132.69</v>
      </c>
      <c r="H204" s="8">
        <v>0</v>
      </c>
      <c r="I204" s="8">
        <v>132.69</v>
      </c>
    </row>
    <row r="205" spans="1:9" x14ac:dyDescent="0.25">
      <c r="A205">
        <v>204</v>
      </c>
      <c r="B205" t="s">
        <v>45</v>
      </c>
      <c r="C205">
        <v>3</v>
      </c>
      <c r="D205">
        <v>189</v>
      </c>
      <c r="E205">
        <v>34</v>
      </c>
      <c r="F205">
        <v>1</v>
      </c>
      <c r="G205">
        <v>247.04</v>
      </c>
      <c r="H205" s="8">
        <v>0.05</v>
      </c>
      <c r="I205" s="8">
        <v>234.69</v>
      </c>
    </row>
    <row r="206" spans="1:9" x14ac:dyDescent="0.25">
      <c r="A206">
        <v>205</v>
      </c>
      <c r="B206" t="s">
        <v>190</v>
      </c>
      <c r="C206">
        <v>2</v>
      </c>
      <c r="D206">
        <v>44</v>
      </c>
      <c r="E206">
        <v>59</v>
      </c>
      <c r="F206">
        <v>1</v>
      </c>
      <c r="G206">
        <v>17.41</v>
      </c>
      <c r="H206" s="8">
        <v>0.1</v>
      </c>
      <c r="I206" s="8">
        <v>15.67</v>
      </c>
    </row>
    <row r="207" spans="1:9" x14ac:dyDescent="0.25">
      <c r="A207">
        <v>206</v>
      </c>
      <c r="B207" t="s">
        <v>169</v>
      </c>
      <c r="C207">
        <v>7</v>
      </c>
      <c r="D207">
        <v>194</v>
      </c>
      <c r="E207">
        <v>95</v>
      </c>
      <c r="F207">
        <v>2</v>
      </c>
      <c r="G207">
        <v>201.94</v>
      </c>
      <c r="H207" s="8">
        <v>0</v>
      </c>
      <c r="I207" s="8">
        <v>403.88</v>
      </c>
    </row>
    <row r="208" spans="1:9" x14ac:dyDescent="0.25">
      <c r="A208">
        <v>207</v>
      </c>
      <c r="B208" t="s">
        <v>191</v>
      </c>
      <c r="C208">
        <v>8</v>
      </c>
      <c r="D208">
        <v>168</v>
      </c>
      <c r="E208">
        <v>44</v>
      </c>
      <c r="F208">
        <v>1</v>
      </c>
      <c r="G208">
        <v>235.19</v>
      </c>
      <c r="H208" s="8">
        <v>0</v>
      </c>
      <c r="I208" s="8">
        <v>235.19</v>
      </c>
    </row>
    <row r="209" spans="1:9" x14ac:dyDescent="0.25">
      <c r="A209">
        <v>208</v>
      </c>
      <c r="B209" t="s">
        <v>192</v>
      </c>
      <c r="C209">
        <v>3</v>
      </c>
      <c r="D209">
        <v>112</v>
      </c>
      <c r="E209">
        <v>89</v>
      </c>
      <c r="F209">
        <v>1</v>
      </c>
      <c r="G209">
        <v>247.43</v>
      </c>
      <c r="H209" s="8">
        <v>0.05</v>
      </c>
      <c r="I209" s="8">
        <v>235.06</v>
      </c>
    </row>
    <row r="210" spans="1:9" x14ac:dyDescent="0.25">
      <c r="A210">
        <v>209</v>
      </c>
      <c r="B210" t="s">
        <v>193</v>
      </c>
      <c r="C210">
        <v>5</v>
      </c>
      <c r="D210">
        <v>199</v>
      </c>
      <c r="E210">
        <v>76</v>
      </c>
      <c r="F210">
        <v>2</v>
      </c>
      <c r="G210">
        <v>181.01</v>
      </c>
      <c r="H210" s="8">
        <v>0</v>
      </c>
      <c r="I210" s="8">
        <v>362.02</v>
      </c>
    </row>
    <row r="211" spans="1:9" x14ac:dyDescent="0.25">
      <c r="A211">
        <v>210</v>
      </c>
      <c r="B211" t="s">
        <v>77</v>
      </c>
      <c r="C211">
        <v>2</v>
      </c>
      <c r="D211">
        <v>34</v>
      </c>
      <c r="E211">
        <v>69</v>
      </c>
      <c r="F211">
        <v>1</v>
      </c>
      <c r="G211">
        <v>22.86</v>
      </c>
      <c r="H211" s="8">
        <v>0.1</v>
      </c>
      <c r="I211" s="8">
        <v>20.57</v>
      </c>
    </row>
    <row r="212" spans="1:9" x14ac:dyDescent="0.25">
      <c r="A212">
        <v>211</v>
      </c>
      <c r="B212" t="s">
        <v>152</v>
      </c>
      <c r="C212">
        <v>3</v>
      </c>
      <c r="D212">
        <v>23</v>
      </c>
      <c r="E212">
        <v>95</v>
      </c>
      <c r="F212">
        <v>1</v>
      </c>
      <c r="G212">
        <v>201.94</v>
      </c>
      <c r="H212" s="8">
        <v>0.1</v>
      </c>
      <c r="I212" s="8">
        <v>181.75</v>
      </c>
    </row>
    <row r="213" spans="1:9" x14ac:dyDescent="0.25">
      <c r="A213">
        <v>212</v>
      </c>
      <c r="B213" t="s">
        <v>194</v>
      </c>
      <c r="C213">
        <v>1</v>
      </c>
      <c r="D213">
        <v>162</v>
      </c>
      <c r="E213">
        <v>17</v>
      </c>
      <c r="F213">
        <v>1</v>
      </c>
      <c r="G213">
        <v>97.14</v>
      </c>
      <c r="H213" s="8">
        <v>0</v>
      </c>
      <c r="I213" s="8">
        <v>97.14</v>
      </c>
    </row>
    <row r="214" spans="1:9" x14ac:dyDescent="0.25">
      <c r="A214">
        <v>213</v>
      </c>
      <c r="B214" t="s">
        <v>195</v>
      </c>
      <c r="C214">
        <v>5</v>
      </c>
      <c r="D214">
        <v>29</v>
      </c>
      <c r="E214">
        <v>5</v>
      </c>
      <c r="F214">
        <v>1</v>
      </c>
      <c r="G214">
        <v>55.26</v>
      </c>
      <c r="H214" s="8">
        <v>0.15</v>
      </c>
      <c r="I214" s="8">
        <v>46.97</v>
      </c>
    </row>
    <row r="215" spans="1:9" x14ac:dyDescent="0.25">
      <c r="A215">
        <v>214</v>
      </c>
      <c r="B215" t="s">
        <v>196</v>
      </c>
      <c r="C215">
        <v>7</v>
      </c>
      <c r="D215">
        <v>102</v>
      </c>
      <c r="E215">
        <v>26</v>
      </c>
      <c r="F215">
        <v>2</v>
      </c>
      <c r="G215">
        <v>211.87</v>
      </c>
      <c r="H215" s="8">
        <v>0.05</v>
      </c>
      <c r="I215" s="8">
        <v>402.55</v>
      </c>
    </row>
    <row r="216" spans="1:9" x14ac:dyDescent="0.25">
      <c r="A216">
        <v>215</v>
      </c>
      <c r="B216" t="s">
        <v>197</v>
      </c>
      <c r="C216">
        <v>8</v>
      </c>
      <c r="D216">
        <v>190</v>
      </c>
      <c r="E216">
        <v>95</v>
      </c>
      <c r="F216">
        <v>2</v>
      </c>
      <c r="G216">
        <v>201.94</v>
      </c>
      <c r="H216" s="8">
        <v>0</v>
      </c>
      <c r="I216" s="8">
        <v>403.88</v>
      </c>
    </row>
    <row r="217" spans="1:9" x14ac:dyDescent="0.25">
      <c r="A217">
        <v>216</v>
      </c>
      <c r="B217" t="s">
        <v>198</v>
      </c>
      <c r="C217">
        <v>5</v>
      </c>
      <c r="D217">
        <v>182</v>
      </c>
      <c r="E217">
        <v>46</v>
      </c>
      <c r="F217">
        <v>1</v>
      </c>
      <c r="G217">
        <v>157</v>
      </c>
      <c r="H217" s="8">
        <v>0.15</v>
      </c>
      <c r="I217" s="8">
        <v>133.44999999999999</v>
      </c>
    </row>
    <row r="218" spans="1:9" x14ac:dyDescent="0.25">
      <c r="A218">
        <v>217</v>
      </c>
      <c r="B218" t="s">
        <v>199</v>
      </c>
      <c r="C218">
        <v>2</v>
      </c>
      <c r="D218">
        <v>24</v>
      </c>
      <c r="E218">
        <v>19</v>
      </c>
      <c r="F218">
        <v>1</v>
      </c>
      <c r="G218">
        <v>138.31</v>
      </c>
      <c r="H218" s="8">
        <v>0.1</v>
      </c>
      <c r="I218" s="8">
        <v>124.48</v>
      </c>
    </row>
    <row r="219" spans="1:9" x14ac:dyDescent="0.25">
      <c r="A219">
        <v>218</v>
      </c>
      <c r="B219" t="s">
        <v>200</v>
      </c>
      <c r="C219">
        <v>7</v>
      </c>
      <c r="D219">
        <v>145</v>
      </c>
      <c r="E219">
        <v>65</v>
      </c>
      <c r="F219">
        <v>1</v>
      </c>
      <c r="G219">
        <v>71.14</v>
      </c>
      <c r="H219" s="8">
        <v>0.05</v>
      </c>
      <c r="I219" s="8">
        <v>67.58</v>
      </c>
    </row>
    <row r="220" spans="1:9" x14ac:dyDescent="0.25">
      <c r="A220">
        <v>219</v>
      </c>
      <c r="B220" t="s">
        <v>201</v>
      </c>
      <c r="C220">
        <v>5</v>
      </c>
      <c r="D220">
        <v>206</v>
      </c>
      <c r="E220">
        <v>86</v>
      </c>
      <c r="F220">
        <v>2</v>
      </c>
      <c r="G220">
        <v>99.19</v>
      </c>
      <c r="H220" s="8">
        <v>0</v>
      </c>
      <c r="I220" s="8">
        <v>198.38</v>
      </c>
    </row>
    <row r="221" spans="1:9" x14ac:dyDescent="0.25">
      <c r="A221">
        <v>220</v>
      </c>
      <c r="B221" t="s">
        <v>202</v>
      </c>
      <c r="C221">
        <v>5</v>
      </c>
      <c r="D221">
        <v>33</v>
      </c>
      <c r="E221">
        <v>13</v>
      </c>
      <c r="F221">
        <v>3</v>
      </c>
      <c r="G221">
        <v>262.70999999999998</v>
      </c>
      <c r="H221" s="8">
        <v>0</v>
      </c>
      <c r="I221" s="8">
        <v>788.13</v>
      </c>
    </row>
    <row r="222" spans="1:9" x14ac:dyDescent="0.25">
      <c r="A222">
        <v>221</v>
      </c>
      <c r="B222" t="s">
        <v>203</v>
      </c>
      <c r="C222">
        <v>4</v>
      </c>
      <c r="D222">
        <v>108</v>
      </c>
      <c r="E222">
        <v>33</v>
      </c>
      <c r="F222">
        <v>2</v>
      </c>
      <c r="G222">
        <v>21.23</v>
      </c>
      <c r="H222" s="8">
        <v>0.05</v>
      </c>
      <c r="I222" s="8">
        <v>40.340000000000003</v>
      </c>
    </row>
    <row r="223" spans="1:9" x14ac:dyDescent="0.25">
      <c r="A223">
        <v>222</v>
      </c>
      <c r="B223" t="s">
        <v>204</v>
      </c>
      <c r="C223">
        <v>1</v>
      </c>
      <c r="D223">
        <v>147</v>
      </c>
      <c r="E223">
        <v>30</v>
      </c>
      <c r="F223">
        <v>1</v>
      </c>
      <c r="G223">
        <v>19.399999999999999</v>
      </c>
      <c r="H223" s="8">
        <v>0.05</v>
      </c>
      <c r="I223" s="8">
        <v>18.43</v>
      </c>
    </row>
    <row r="224" spans="1:9" x14ac:dyDescent="0.25">
      <c r="A224">
        <v>223</v>
      </c>
      <c r="B224" t="s">
        <v>205</v>
      </c>
      <c r="C224">
        <v>4</v>
      </c>
      <c r="D224">
        <v>68</v>
      </c>
      <c r="E224">
        <v>84</v>
      </c>
      <c r="F224">
        <v>1</v>
      </c>
      <c r="G224">
        <v>26.78</v>
      </c>
      <c r="H224" s="8">
        <v>0</v>
      </c>
      <c r="I224" s="8">
        <v>26.78</v>
      </c>
    </row>
    <row r="225" spans="1:9" x14ac:dyDescent="0.25">
      <c r="A225">
        <v>224</v>
      </c>
      <c r="B225" t="s">
        <v>206</v>
      </c>
      <c r="C225">
        <v>4</v>
      </c>
      <c r="D225">
        <v>217</v>
      </c>
      <c r="E225">
        <v>74</v>
      </c>
      <c r="F225">
        <v>1</v>
      </c>
      <c r="G225">
        <v>205.01</v>
      </c>
      <c r="H225" s="8">
        <v>0.1</v>
      </c>
      <c r="I225" s="8">
        <v>184.51</v>
      </c>
    </row>
    <row r="226" spans="1:9" x14ac:dyDescent="0.25">
      <c r="A226">
        <v>225</v>
      </c>
      <c r="B226" t="s">
        <v>207</v>
      </c>
      <c r="C226">
        <v>5</v>
      </c>
      <c r="D226">
        <v>67</v>
      </c>
      <c r="E226">
        <v>96</v>
      </c>
      <c r="F226">
        <v>1</v>
      </c>
      <c r="G226">
        <v>132.69</v>
      </c>
      <c r="H226" s="8">
        <v>0</v>
      </c>
      <c r="I226" s="8">
        <v>132.69</v>
      </c>
    </row>
    <row r="227" spans="1:9" x14ac:dyDescent="0.25">
      <c r="A227">
        <v>226</v>
      </c>
      <c r="B227" t="s">
        <v>208</v>
      </c>
      <c r="C227">
        <v>6</v>
      </c>
      <c r="D227">
        <v>55</v>
      </c>
      <c r="E227">
        <v>8</v>
      </c>
      <c r="F227">
        <v>1</v>
      </c>
      <c r="G227">
        <v>259.11</v>
      </c>
      <c r="H227" s="8">
        <v>0</v>
      </c>
      <c r="I227" s="8">
        <v>259.11</v>
      </c>
    </row>
    <row r="228" spans="1:9" x14ac:dyDescent="0.25">
      <c r="A228">
        <v>227</v>
      </c>
      <c r="B228" t="s">
        <v>209</v>
      </c>
      <c r="C228">
        <v>1</v>
      </c>
      <c r="D228">
        <v>14</v>
      </c>
      <c r="E228">
        <v>62</v>
      </c>
      <c r="F228">
        <v>1</v>
      </c>
      <c r="G228">
        <v>82.81</v>
      </c>
      <c r="H228" s="8">
        <v>0</v>
      </c>
      <c r="I228" s="8">
        <v>82.81</v>
      </c>
    </row>
    <row r="229" spans="1:9" x14ac:dyDescent="0.25">
      <c r="A229">
        <v>228</v>
      </c>
      <c r="B229" t="s">
        <v>210</v>
      </c>
      <c r="C229">
        <v>7</v>
      </c>
      <c r="D229">
        <v>132</v>
      </c>
      <c r="E229">
        <v>77</v>
      </c>
      <c r="F229">
        <v>1</v>
      </c>
      <c r="G229">
        <v>226.88</v>
      </c>
      <c r="H229" s="8">
        <v>0.2</v>
      </c>
      <c r="I229" s="8">
        <v>181.5</v>
      </c>
    </row>
    <row r="230" spans="1:9" x14ac:dyDescent="0.25">
      <c r="A230">
        <v>229</v>
      </c>
      <c r="B230" t="s">
        <v>211</v>
      </c>
      <c r="C230">
        <v>3</v>
      </c>
      <c r="D230">
        <v>149</v>
      </c>
      <c r="E230">
        <v>19</v>
      </c>
      <c r="F230">
        <v>2</v>
      </c>
      <c r="G230">
        <v>138.31</v>
      </c>
      <c r="H230" s="8">
        <v>0</v>
      </c>
      <c r="I230" s="8">
        <v>276.62</v>
      </c>
    </row>
    <row r="231" spans="1:9" x14ac:dyDescent="0.25">
      <c r="A231">
        <v>230</v>
      </c>
      <c r="B231" t="s">
        <v>212</v>
      </c>
      <c r="C231">
        <v>4</v>
      </c>
      <c r="D231">
        <v>22</v>
      </c>
      <c r="E231">
        <v>94</v>
      </c>
      <c r="F231">
        <v>1</v>
      </c>
      <c r="G231">
        <v>163.66</v>
      </c>
      <c r="H231" s="8">
        <v>0.05</v>
      </c>
      <c r="I231" s="8">
        <v>155.47999999999999</v>
      </c>
    </row>
    <row r="232" spans="1:9" x14ac:dyDescent="0.25">
      <c r="A232">
        <v>231</v>
      </c>
      <c r="B232" t="s">
        <v>213</v>
      </c>
      <c r="C232">
        <v>6</v>
      </c>
      <c r="D232">
        <v>204</v>
      </c>
      <c r="E232">
        <v>63</v>
      </c>
      <c r="F232">
        <v>2</v>
      </c>
      <c r="G232">
        <v>239.9</v>
      </c>
      <c r="H232" s="8">
        <v>0.05</v>
      </c>
      <c r="I232" s="8">
        <v>455.81</v>
      </c>
    </row>
    <row r="233" spans="1:9" x14ac:dyDescent="0.25">
      <c r="A233">
        <v>232</v>
      </c>
      <c r="B233" t="s">
        <v>214</v>
      </c>
      <c r="C233">
        <v>7</v>
      </c>
      <c r="D233">
        <v>29</v>
      </c>
      <c r="E233">
        <v>4</v>
      </c>
      <c r="F233">
        <v>1</v>
      </c>
      <c r="G233">
        <v>168</v>
      </c>
      <c r="H233" s="8">
        <v>0.1</v>
      </c>
      <c r="I233" s="8">
        <v>151.19999999999999</v>
      </c>
    </row>
    <row r="234" spans="1:9" x14ac:dyDescent="0.25">
      <c r="A234">
        <v>233</v>
      </c>
      <c r="B234" t="s">
        <v>215</v>
      </c>
      <c r="C234">
        <v>7</v>
      </c>
      <c r="D234">
        <v>116</v>
      </c>
      <c r="E234">
        <v>97</v>
      </c>
      <c r="F234">
        <v>1</v>
      </c>
      <c r="G234">
        <v>158.26</v>
      </c>
      <c r="H234" s="8">
        <v>0.15</v>
      </c>
      <c r="I234" s="8">
        <v>134.52000000000001</v>
      </c>
    </row>
    <row r="235" spans="1:9" x14ac:dyDescent="0.25">
      <c r="A235">
        <v>234</v>
      </c>
      <c r="B235" t="s">
        <v>216</v>
      </c>
      <c r="C235">
        <v>8</v>
      </c>
      <c r="D235">
        <v>182</v>
      </c>
      <c r="E235">
        <v>54</v>
      </c>
      <c r="F235">
        <v>2</v>
      </c>
      <c r="G235">
        <v>245.9</v>
      </c>
      <c r="H235" s="8">
        <v>0</v>
      </c>
      <c r="I235" s="8">
        <v>491.8</v>
      </c>
    </row>
    <row r="236" spans="1:9" x14ac:dyDescent="0.25">
      <c r="A236">
        <v>235</v>
      </c>
      <c r="B236" t="s">
        <v>217</v>
      </c>
      <c r="C236">
        <v>6</v>
      </c>
      <c r="D236">
        <v>27</v>
      </c>
      <c r="E236">
        <v>46</v>
      </c>
      <c r="F236">
        <v>1</v>
      </c>
      <c r="G236">
        <v>157</v>
      </c>
      <c r="H236" s="8">
        <v>0</v>
      </c>
      <c r="I236" s="8">
        <v>157</v>
      </c>
    </row>
    <row r="237" spans="1:9" x14ac:dyDescent="0.25">
      <c r="A237">
        <v>236</v>
      </c>
      <c r="B237" t="s">
        <v>218</v>
      </c>
      <c r="C237">
        <v>7</v>
      </c>
      <c r="D237">
        <v>114</v>
      </c>
      <c r="E237">
        <v>14</v>
      </c>
      <c r="F237">
        <v>2</v>
      </c>
      <c r="G237">
        <v>70.08</v>
      </c>
      <c r="H237" s="8">
        <v>0</v>
      </c>
      <c r="I237" s="8">
        <v>140.16</v>
      </c>
    </row>
    <row r="238" spans="1:9" x14ac:dyDescent="0.25">
      <c r="A238">
        <v>237</v>
      </c>
      <c r="B238" t="s">
        <v>219</v>
      </c>
      <c r="C238">
        <v>5</v>
      </c>
      <c r="D238">
        <v>179</v>
      </c>
      <c r="E238">
        <v>73</v>
      </c>
      <c r="F238">
        <v>1</v>
      </c>
      <c r="G238">
        <v>8.39</v>
      </c>
      <c r="H238" s="8">
        <v>0</v>
      </c>
      <c r="I238" s="8">
        <v>8.39</v>
      </c>
    </row>
    <row r="239" spans="1:9" x14ac:dyDescent="0.25">
      <c r="A239">
        <v>238</v>
      </c>
      <c r="B239" t="s">
        <v>184</v>
      </c>
      <c r="C239">
        <v>7</v>
      </c>
      <c r="D239">
        <v>108</v>
      </c>
      <c r="E239">
        <v>42</v>
      </c>
      <c r="F239">
        <v>1</v>
      </c>
      <c r="G239">
        <v>127.97</v>
      </c>
      <c r="H239" s="8">
        <v>0</v>
      </c>
      <c r="I239" s="8">
        <v>127.97</v>
      </c>
    </row>
    <row r="240" spans="1:9" x14ac:dyDescent="0.25">
      <c r="A240">
        <v>239</v>
      </c>
      <c r="B240" t="s">
        <v>9</v>
      </c>
      <c r="C240">
        <v>6</v>
      </c>
      <c r="D240">
        <v>185</v>
      </c>
      <c r="E240">
        <v>30</v>
      </c>
      <c r="F240">
        <v>2</v>
      </c>
      <c r="G240">
        <v>19.399999999999999</v>
      </c>
      <c r="H240" s="8">
        <v>0.15</v>
      </c>
      <c r="I240" s="8">
        <v>32.979999999999997</v>
      </c>
    </row>
    <row r="241" spans="1:9" x14ac:dyDescent="0.25">
      <c r="A241">
        <v>240</v>
      </c>
      <c r="B241" t="s">
        <v>220</v>
      </c>
      <c r="C241">
        <v>8</v>
      </c>
      <c r="D241">
        <v>2</v>
      </c>
      <c r="E241">
        <v>59</v>
      </c>
      <c r="F241">
        <v>2</v>
      </c>
      <c r="G241">
        <v>17.41</v>
      </c>
      <c r="H241" s="8">
        <v>0.15</v>
      </c>
      <c r="I241" s="8">
        <v>29.6</v>
      </c>
    </row>
    <row r="242" spans="1:9" x14ac:dyDescent="0.25">
      <c r="A242">
        <v>241</v>
      </c>
      <c r="B242" t="s">
        <v>221</v>
      </c>
      <c r="C242">
        <v>2</v>
      </c>
      <c r="D242">
        <v>149</v>
      </c>
      <c r="E242">
        <v>17</v>
      </c>
      <c r="F242">
        <v>1</v>
      </c>
      <c r="G242">
        <v>97.14</v>
      </c>
      <c r="H242" s="8">
        <v>0.05</v>
      </c>
      <c r="I242" s="8">
        <v>92.28</v>
      </c>
    </row>
    <row r="243" spans="1:9" x14ac:dyDescent="0.25">
      <c r="A243">
        <v>242</v>
      </c>
      <c r="B243" t="s">
        <v>222</v>
      </c>
      <c r="C243">
        <v>2</v>
      </c>
      <c r="D243">
        <v>202</v>
      </c>
      <c r="E243">
        <v>55</v>
      </c>
      <c r="F243">
        <v>1</v>
      </c>
      <c r="G243">
        <v>193.33</v>
      </c>
      <c r="H243" s="8">
        <v>0.15</v>
      </c>
      <c r="I243" s="8">
        <v>164.33</v>
      </c>
    </row>
    <row r="244" spans="1:9" x14ac:dyDescent="0.25">
      <c r="A244">
        <v>243</v>
      </c>
      <c r="B244" t="s">
        <v>223</v>
      </c>
      <c r="C244">
        <v>7</v>
      </c>
      <c r="D244">
        <v>168</v>
      </c>
      <c r="E244">
        <v>16</v>
      </c>
      <c r="F244">
        <v>1</v>
      </c>
      <c r="G244">
        <v>62.77</v>
      </c>
      <c r="H244" s="8">
        <v>0</v>
      </c>
      <c r="I244" s="8">
        <v>62.77</v>
      </c>
    </row>
    <row r="245" spans="1:9" x14ac:dyDescent="0.25">
      <c r="A245">
        <v>244</v>
      </c>
      <c r="B245" t="s">
        <v>20</v>
      </c>
      <c r="C245">
        <v>2</v>
      </c>
      <c r="D245">
        <v>165</v>
      </c>
      <c r="E245">
        <v>83</v>
      </c>
      <c r="F245">
        <v>3</v>
      </c>
      <c r="G245">
        <v>109.16</v>
      </c>
      <c r="H245" s="8">
        <v>0</v>
      </c>
      <c r="I245" s="8">
        <v>327.48</v>
      </c>
    </row>
    <row r="246" spans="1:9" x14ac:dyDescent="0.25">
      <c r="A246">
        <v>245</v>
      </c>
      <c r="B246" t="s">
        <v>98</v>
      </c>
      <c r="C246">
        <v>5</v>
      </c>
      <c r="D246">
        <v>205</v>
      </c>
      <c r="E246">
        <v>25</v>
      </c>
      <c r="F246">
        <v>1</v>
      </c>
      <c r="G246">
        <v>117.41</v>
      </c>
      <c r="H246" s="8">
        <v>0</v>
      </c>
      <c r="I246" s="8">
        <v>117.41</v>
      </c>
    </row>
    <row r="247" spans="1:9" x14ac:dyDescent="0.25">
      <c r="A247">
        <v>246</v>
      </c>
      <c r="B247" t="s">
        <v>188</v>
      </c>
      <c r="C247">
        <v>4</v>
      </c>
      <c r="D247">
        <v>216</v>
      </c>
      <c r="E247">
        <v>40</v>
      </c>
      <c r="F247">
        <v>1</v>
      </c>
      <c r="G247">
        <v>144.41999999999999</v>
      </c>
      <c r="H247" s="8">
        <v>0</v>
      </c>
      <c r="I247" s="8">
        <v>144.41999999999999</v>
      </c>
    </row>
    <row r="248" spans="1:9" x14ac:dyDescent="0.25">
      <c r="A248">
        <v>247</v>
      </c>
      <c r="B248" t="s">
        <v>16</v>
      </c>
      <c r="C248">
        <v>3</v>
      </c>
      <c r="D248">
        <v>5</v>
      </c>
      <c r="E248">
        <v>78</v>
      </c>
      <c r="F248">
        <v>1</v>
      </c>
      <c r="G248">
        <v>25.66</v>
      </c>
      <c r="H248" s="8">
        <v>0</v>
      </c>
      <c r="I248" s="8">
        <v>25.66</v>
      </c>
    </row>
    <row r="249" spans="1:9" x14ac:dyDescent="0.25">
      <c r="A249">
        <v>248</v>
      </c>
      <c r="B249" t="s">
        <v>224</v>
      </c>
      <c r="C249">
        <v>2</v>
      </c>
      <c r="D249">
        <v>85</v>
      </c>
      <c r="E249">
        <v>30</v>
      </c>
      <c r="F249">
        <v>1</v>
      </c>
      <c r="G249">
        <v>19.399999999999999</v>
      </c>
      <c r="H249" s="8">
        <v>0</v>
      </c>
      <c r="I249" s="8">
        <v>19.399999999999999</v>
      </c>
    </row>
    <row r="250" spans="1:9" x14ac:dyDescent="0.25">
      <c r="A250">
        <v>249</v>
      </c>
      <c r="B250" t="s">
        <v>225</v>
      </c>
      <c r="C250">
        <v>4</v>
      </c>
      <c r="D250">
        <v>158</v>
      </c>
      <c r="E250">
        <v>73</v>
      </c>
      <c r="F250">
        <v>1</v>
      </c>
      <c r="G250">
        <v>8.39</v>
      </c>
      <c r="H250" s="8">
        <v>0</v>
      </c>
      <c r="I250" s="8">
        <v>8.39</v>
      </c>
    </row>
    <row r="251" spans="1:9" x14ac:dyDescent="0.25">
      <c r="A251">
        <v>250</v>
      </c>
      <c r="B251" t="s">
        <v>226</v>
      </c>
      <c r="C251">
        <v>6</v>
      </c>
      <c r="D251">
        <v>139</v>
      </c>
      <c r="E251">
        <v>7</v>
      </c>
      <c r="F251">
        <v>1</v>
      </c>
      <c r="G251">
        <v>21.72</v>
      </c>
      <c r="H251" s="8">
        <v>0</v>
      </c>
      <c r="I251" s="8">
        <v>21.72</v>
      </c>
    </row>
    <row r="252" spans="1:9" x14ac:dyDescent="0.25">
      <c r="A252">
        <v>251</v>
      </c>
      <c r="B252" t="s">
        <v>227</v>
      </c>
      <c r="C252">
        <v>4</v>
      </c>
      <c r="D252">
        <v>67</v>
      </c>
      <c r="E252">
        <v>45</v>
      </c>
      <c r="F252">
        <v>1</v>
      </c>
      <c r="G252">
        <v>70.989999999999995</v>
      </c>
      <c r="H252" s="8">
        <v>0</v>
      </c>
      <c r="I252" s="8">
        <v>70.989999999999995</v>
      </c>
    </row>
    <row r="253" spans="1:9" x14ac:dyDescent="0.25">
      <c r="A253">
        <v>252</v>
      </c>
      <c r="B253" t="s">
        <v>228</v>
      </c>
      <c r="C253">
        <v>3</v>
      </c>
      <c r="D253">
        <v>31</v>
      </c>
      <c r="E253">
        <v>5</v>
      </c>
      <c r="F253">
        <v>3</v>
      </c>
      <c r="G253">
        <v>55.26</v>
      </c>
      <c r="H253" s="8">
        <v>0</v>
      </c>
      <c r="I253" s="8">
        <v>165.78</v>
      </c>
    </row>
    <row r="254" spans="1:9" x14ac:dyDescent="0.25">
      <c r="A254">
        <v>253</v>
      </c>
      <c r="B254" t="s">
        <v>229</v>
      </c>
      <c r="C254">
        <v>4</v>
      </c>
      <c r="D254">
        <v>191</v>
      </c>
      <c r="E254">
        <v>1</v>
      </c>
      <c r="F254">
        <v>1</v>
      </c>
      <c r="G254">
        <v>90.53</v>
      </c>
      <c r="H254" s="8">
        <v>0</v>
      </c>
      <c r="I254" s="8">
        <v>90.53</v>
      </c>
    </row>
    <row r="255" spans="1:9" x14ac:dyDescent="0.25">
      <c r="A255">
        <v>254</v>
      </c>
      <c r="B255" t="s">
        <v>230</v>
      </c>
      <c r="C255">
        <v>3</v>
      </c>
      <c r="D255">
        <v>95</v>
      </c>
      <c r="E255">
        <v>36</v>
      </c>
      <c r="F255">
        <v>1</v>
      </c>
      <c r="G255">
        <v>211.43</v>
      </c>
      <c r="H255" s="8">
        <v>0.2</v>
      </c>
      <c r="I255" s="8">
        <v>169.14</v>
      </c>
    </row>
    <row r="256" spans="1:9" x14ac:dyDescent="0.25">
      <c r="A256">
        <v>255</v>
      </c>
      <c r="B256" t="s">
        <v>231</v>
      </c>
      <c r="C256">
        <v>3</v>
      </c>
      <c r="D256">
        <v>47</v>
      </c>
      <c r="E256">
        <v>29</v>
      </c>
      <c r="F256">
        <v>1</v>
      </c>
      <c r="G256">
        <v>138.6</v>
      </c>
      <c r="H256" s="8">
        <v>0.2</v>
      </c>
      <c r="I256" s="8">
        <v>110.88</v>
      </c>
    </row>
    <row r="257" spans="1:9" x14ac:dyDescent="0.25">
      <c r="A257">
        <v>256</v>
      </c>
      <c r="B257" t="s">
        <v>232</v>
      </c>
      <c r="C257">
        <v>8</v>
      </c>
      <c r="D257">
        <v>77</v>
      </c>
      <c r="E257">
        <v>34</v>
      </c>
      <c r="F257">
        <v>1</v>
      </c>
      <c r="G257">
        <v>247.04</v>
      </c>
      <c r="H257" s="8">
        <v>0</v>
      </c>
      <c r="I257" s="8">
        <v>247.04</v>
      </c>
    </row>
    <row r="258" spans="1:9" x14ac:dyDescent="0.25">
      <c r="A258">
        <v>257</v>
      </c>
      <c r="B258" t="s">
        <v>233</v>
      </c>
      <c r="C258">
        <v>6</v>
      </c>
      <c r="D258">
        <v>183</v>
      </c>
      <c r="E258">
        <v>91</v>
      </c>
      <c r="F258">
        <v>1</v>
      </c>
      <c r="G258">
        <v>33.700000000000003</v>
      </c>
      <c r="H258" s="8">
        <v>0</v>
      </c>
      <c r="I258" s="8">
        <v>33.700000000000003</v>
      </c>
    </row>
    <row r="259" spans="1:9" x14ac:dyDescent="0.25">
      <c r="A259">
        <v>258</v>
      </c>
      <c r="B259" t="s">
        <v>234</v>
      </c>
      <c r="C259">
        <v>3</v>
      </c>
      <c r="D259">
        <v>58</v>
      </c>
      <c r="E259">
        <v>74</v>
      </c>
      <c r="F259">
        <v>1</v>
      </c>
      <c r="G259">
        <v>205.01</v>
      </c>
      <c r="H259" s="8">
        <v>0</v>
      </c>
      <c r="I259" s="8">
        <v>205.01</v>
      </c>
    </row>
    <row r="260" spans="1:9" x14ac:dyDescent="0.25">
      <c r="A260">
        <v>259</v>
      </c>
      <c r="B260" t="s">
        <v>235</v>
      </c>
      <c r="C260">
        <v>2</v>
      </c>
      <c r="D260">
        <v>216</v>
      </c>
      <c r="E260">
        <v>40</v>
      </c>
      <c r="F260">
        <v>1</v>
      </c>
      <c r="G260">
        <v>144.41999999999999</v>
      </c>
      <c r="H260" s="8">
        <v>0</v>
      </c>
      <c r="I260" s="8">
        <v>144.41999999999999</v>
      </c>
    </row>
    <row r="261" spans="1:9" x14ac:dyDescent="0.25">
      <c r="A261">
        <v>260</v>
      </c>
      <c r="B261" t="s">
        <v>236</v>
      </c>
      <c r="C261">
        <v>8</v>
      </c>
      <c r="D261">
        <v>80</v>
      </c>
      <c r="E261">
        <v>57</v>
      </c>
      <c r="F261">
        <v>1</v>
      </c>
      <c r="G261">
        <v>32.28</v>
      </c>
      <c r="H261" s="8">
        <v>0</v>
      </c>
      <c r="I261" s="8">
        <v>32.28</v>
      </c>
    </row>
    <row r="262" spans="1:9" x14ac:dyDescent="0.25">
      <c r="A262">
        <v>261</v>
      </c>
      <c r="B262" t="s">
        <v>237</v>
      </c>
      <c r="C262">
        <v>5</v>
      </c>
      <c r="D262">
        <v>36</v>
      </c>
      <c r="E262">
        <v>34</v>
      </c>
      <c r="F262">
        <v>1</v>
      </c>
      <c r="G262">
        <v>247.04</v>
      </c>
      <c r="H262" s="8">
        <v>0</v>
      </c>
      <c r="I262" s="8">
        <v>247.04</v>
      </c>
    </row>
    <row r="263" spans="1:9" x14ac:dyDescent="0.25">
      <c r="A263">
        <v>262</v>
      </c>
      <c r="B263" t="s">
        <v>238</v>
      </c>
      <c r="C263">
        <v>6</v>
      </c>
      <c r="D263">
        <v>25</v>
      </c>
      <c r="E263">
        <v>80</v>
      </c>
      <c r="F263">
        <v>3</v>
      </c>
      <c r="G263">
        <v>33.380000000000003</v>
      </c>
      <c r="H263" s="8">
        <v>0</v>
      </c>
      <c r="I263" s="8">
        <v>100.14</v>
      </c>
    </row>
    <row r="264" spans="1:9" x14ac:dyDescent="0.25">
      <c r="A264">
        <v>263</v>
      </c>
      <c r="B264" t="s">
        <v>47</v>
      </c>
      <c r="C264">
        <v>2</v>
      </c>
      <c r="D264">
        <v>211</v>
      </c>
      <c r="E264">
        <v>13</v>
      </c>
      <c r="F264">
        <v>1</v>
      </c>
      <c r="G264">
        <v>262.70999999999998</v>
      </c>
      <c r="H264" s="8">
        <v>0.05</v>
      </c>
      <c r="I264" s="8">
        <v>249.57</v>
      </c>
    </row>
    <row r="265" spans="1:9" x14ac:dyDescent="0.25">
      <c r="A265">
        <v>264</v>
      </c>
      <c r="B265" t="s">
        <v>239</v>
      </c>
      <c r="C265">
        <v>8</v>
      </c>
      <c r="D265">
        <v>14</v>
      </c>
      <c r="E265">
        <v>31</v>
      </c>
      <c r="F265">
        <v>1</v>
      </c>
      <c r="G265">
        <v>165.45</v>
      </c>
      <c r="H265" s="8">
        <v>0</v>
      </c>
      <c r="I265" s="8">
        <v>165.45</v>
      </c>
    </row>
    <row r="266" spans="1:9" x14ac:dyDescent="0.25">
      <c r="A266">
        <v>265</v>
      </c>
      <c r="B266" t="s">
        <v>240</v>
      </c>
      <c r="C266">
        <v>1</v>
      </c>
      <c r="D266">
        <v>183</v>
      </c>
      <c r="E266">
        <v>70</v>
      </c>
      <c r="F266">
        <v>1</v>
      </c>
      <c r="G266">
        <v>280.36</v>
      </c>
      <c r="H266" s="8">
        <v>0</v>
      </c>
      <c r="I266" s="8">
        <v>280.36</v>
      </c>
    </row>
    <row r="267" spans="1:9" x14ac:dyDescent="0.25">
      <c r="A267">
        <v>266</v>
      </c>
      <c r="B267" t="s">
        <v>241</v>
      </c>
      <c r="C267">
        <v>6</v>
      </c>
      <c r="D267">
        <v>26</v>
      </c>
      <c r="E267">
        <v>100</v>
      </c>
      <c r="F267">
        <v>1</v>
      </c>
      <c r="G267">
        <v>39.06</v>
      </c>
      <c r="H267" s="8">
        <v>0</v>
      </c>
      <c r="I267" s="8">
        <v>39.06</v>
      </c>
    </row>
    <row r="268" spans="1:9" x14ac:dyDescent="0.25">
      <c r="A268">
        <v>267</v>
      </c>
      <c r="B268" t="s">
        <v>242</v>
      </c>
      <c r="C268">
        <v>2</v>
      </c>
      <c r="D268">
        <v>155</v>
      </c>
      <c r="E268">
        <v>99</v>
      </c>
      <c r="F268">
        <v>1</v>
      </c>
      <c r="G268">
        <v>15.44</v>
      </c>
      <c r="H268" s="8">
        <v>0</v>
      </c>
      <c r="I268" s="8">
        <v>15.44</v>
      </c>
    </row>
    <row r="269" spans="1:9" x14ac:dyDescent="0.25">
      <c r="A269">
        <v>268</v>
      </c>
      <c r="B269" t="s">
        <v>116</v>
      </c>
      <c r="C269">
        <v>7</v>
      </c>
      <c r="D269">
        <v>72</v>
      </c>
      <c r="E269">
        <v>38</v>
      </c>
      <c r="F269">
        <v>1</v>
      </c>
      <c r="G269">
        <v>35.35</v>
      </c>
      <c r="H269" s="8">
        <v>0.1</v>
      </c>
      <c r="I269" s="8">
        <v>31.82</v>
      </c>
    </row>
    <row r="270" spans="1:9" x14ac:dyDescent="0.25">
      <c r="A270">
        <v>269</v>
      </c>
      <c r="B270" t="s">
        <v>243</v>
      </c>
      <c r="C270">
        <v>1</v>
      </c>
      <c r="D270">
        <v>27</v>
      </c>
      <c r="E270">
        <v>80</v>
      </c>
      <c r="F270">
        <v>1</v>
      </c>
      <c r="G270">
        <v>33.380000000000003</v>
      </c>
      <c r="H270" s="8">
        <v>0</v>
      </c>
      <c r="I270" s="8">
        <v>33.380000000000003</v>
      </c>
    </row>
    <row r="271" spans="1:9" x14ac:dyDescent="0.25">
      <c r="A271">
        <v>270</v>
      </c>
      <c r="B271" t="s">
        <v>244</v>
      </c>
      <c r="C271">
        <v>4</v>
      </c>
      <c r="D271">
        <v>131</v>
      </c>
      <c r="E271">
        <v>100</v>
      </c>
      <c r="F271">
        <v>3</v>
      </c>
      <c r="G271">
        <v>39.06</v>
      </c>
      <c r="H271" s="8">
        <v>0</v>
      </c>
      <c r="I271" s="8">
        <v>117.18</v>
      </c>
    </row>
    <row r="272" spans="1:9" x14ac:dyDescent="0.25">
      <c r="A272">
        <v>271</v>
      </c>
      <c r="B272" t="s">
        <v>245</v>
      </c>
      <c r="C272">
        <v>8</v>
      </c>
      <c r="D272">
        <v>12</v>
      </c>
      <c r="E272">
        <v>75</v>
      </c>
      <c r="F272">
        <v>2</v>
      </c>
      <c r="G272">
        <v>205.69</v>
      </c>
      <c r="H272" s="8">
        <v>0.05</v>
      </c>
      <c r="I272" s="8">
        <v>390.81</v>
      </c>
    </row>
    <row r="273" spans="1:9" x14ac:dyDescent="0.25">
      <c r="A273">
        <v>272</v>
      </c>
      <c r="B273" t="s">
        <v>246</v>
      </c>
      <c r="C273">
        <v>3</v>
      </c>
      <c r="D273">
        <v>108</v>
      </c>
      <c r="E273">
        <v>7</v>
      </c>
      <c r="F273">
        <v>1</v>
      </c>
      <c r="G273">
        <v>21.72</v>
      </c>
      <c r="H273" s="8">
        <v>0</v>
      </c>
      <c r="I273" s="8">
        <v>21.72</v>
      </c>
    </row>
    <row r="274" spans="1:9" x14ac:dyDescent="0.25">
      <c r="A274">
        <v>273</v>
      </c>
      <c r="B274" t="s">
        <v>247</v>
      </c>
      <c r="C274">
        <v>8</v>
      </c>
      <c r="D274">
        <v>119</v>
      </c>
      <c r="E274">
        <v>22</v>
      </c>
      <c r="F274">
        <v>2</v>
      </c>
      <c r="G274">
        <v>49.91</v>
      </c>
      <c r="H274" s="8">
        <v>0</v>
      </c>
      <c r="I274" s="8">
        <v>99.82</v>
      </c>
    </row>
    <row r="275" spans="1:9" x14ac:dyDescent="0.25">
      <c r="A275">
        <v>274</v>
      </c>
      <c r="B275" t="s">
        <v>248</v>
      </c>
      <c r="C275">
        <v>6</v>
      </c>
      <c r="D275">
        <v>76</v>
      </c>
      <c r="E275">
        <v>87</v>
      </c>
      <c r="F275">
        <v>1</v>
      </c>
      <c r="G275">
        <v>223.85</v>
      </c>
      <c r="H275" s="8">
        <v>0.15</v>
      </c>
      <c r="I275" s="8">
        <v>190.27</v>
      </c>
    </row>
    <row r="276" spans="1:9" x14ac:dyDescent="0.25">
      <c r="A276">
        <v>275</v>
      </c>
      <c r="B276" t="s">
        <v>249</v>
      </c>
      <c r="C276">
        <v>3</v>
      </c>
      <c r="D276">
        <v>26</v>
      </c>
      <c r="E276">
        <v>81</v>
      </c>
      <c r="F276">
        <v>3</v>
      </c>
      <c r="G276">
        <v>225.3</v>
      </c>
      <c r="H276" s="8">
        <v>0.2</v>
      </c>
      <c r="I276" s="8">
        <v>540.72</v>
      </c>
    </row>
    <row r="277" spans="1:9" x14ac:dyDescent="0.25">
      <c r="A277">
        <v>276</v>
      </c>
      <c r="B277" t="s">
        <v>250</v>
      </c>
      <c r="C277">
        <v>4</v>
      </c>
      <c r="D277">
        <v>130</v>
      </c>
      <c r="E277">
        <v>43</v>
      </c>
      <c r="F277">
        <v>1</v>
      </c>
      <c r="G277">
        <v>16.04</v>
      </c>
      <c r="H277" s="8">
        <v>0</v>
      </c>
      <c r="I277" s="8">
        <v>16.04</v>
      </c>
    </row>
    <row r="278" spans="1:9" x14ac:dyDescent="0.25">
      <c r="A278">
        <v>277</v>
      </c>
      <c r="B278" t="s">
        <v>251</v>
      </c>
      <c r="C278">
        <v>8</v>
      </c>
      <c r="D278">
        <v>119</v>
      </c>
      <c r="E278">
        <v>31</v>
      </c>
      <c r="F278">
        <v>2</v>
      </c>
      <c r="G278">
        <v>165.45</v>
      </c>
      <c r="H278" s="8">
        <v>0.05</v>
      </c>
      <c r="I278" s="8">
        <v>314.35000000000002</v>
      </c>
    </row>
    <row r="279" spans="1:9" x14ac:dyDescent="0.25">
      <c r="A279">
        <v>278</v>
      </c>
      <c r="B279" t="s">
        <v>252</v>
      </c>
      <c r="C279">
        <v>6</v>
      </c>
      <c r="D279">
        <v>82</v>
      </c>
      <c r="E279">
        <v>52</v>
      </c>
      <c r="F279">
        <v>1</v>
      </c>
      <c r="G279">
        <v>196.75</v>
      </c>
      <c r="H279" s="8">
        <v>0.05</v>
      </c>
      <c r="I279" s="8">
        <v>186.91</v>
      </c>
    </row>
    <row r="280" spans="1:9" x14ac:dyDescent="0.25">
      <c r="A280">
        <v>279</v>
      </c>
      <c r="B280" t="s">
        <v>253</v>
      </c>
      <c r="C280">
        <v>5</v>
      </c>
      <c r="D280">
        <v>204</v>
      </c>
      <c r="E280">
        <v>100</v>
      </c>
      <c r="F280">
        <v>1</v>
      </c>
      <c r="G280">
        <v>39.06</v>
      </c>
      <c r="H280" s="8">
        <v>0</v>
      </c>
      <c r="I280" s="8">
        <v>39.06</v>
      </c>
    </row>
    <row r="281" spans="1:9" x14ac:dyDescent="0.25">
      <c r="A281">
        <v>280</v>
      </c>
      <c r="B281" t="s">
        <v>254</v>
      </c>
      <c r="C281">
        <v>7</v>
      </c>
      <c r="D281">
        <v>127</v>
      </c>
      <c r="E281">
        <v>68</v>
      </c>
      <c r="F281">
        <v>1</v>
      </c>
      <c r="G281">
        <v>198.56</v>
      </c>
      <c r="H281" s="8">
        <v>0</v>
      </c>
      <c r="I281" s="8">
        <v>198.56</v>
      </c>
    </row>
    <row r="282" spans="1:9" x14ac:dyDescent="0.25">
      <c r="A282">
        <v>281</v>
      </c>
      <c r="B282" t="s">
        <v>255</v>
      </c>
      <c r="C282">
        <v>1</v>
      </c>
      <c r="D282">
        <v>173</v>
      </c>
      <c r="E282">
        <v>8</v>
      </c>
      <c r="F282">
        <v>1</v>
      </c>
      <c r="G282">
        <v>259.11</v>
      </c>
      <c r="H282" s="8">
        <v>0.1</v>
      </c>
      <c r="I282" s="8">
        <v>233.2</v>
      </c>
    </row>
    <row r="283" spans="1:9" x14ac:dyDescent="0.25">
      <c r="A283">
        <v>282</v>
      </c>
      <c r="B283" t="s">
        <v>256</v>
      </c>
      <c r="C283">
        <v>2</v>
      </c>
      <c r="D283">
        <v>103</v>
      </c>
      <c r="E283">
        <v>47</v>
      </c>
      <c r="F283">
        <v>1</v>
      </c>
      <c r="G283">
        <v>93.41</v>
      </c>
      <c r="H283" s="8">
        <v>0</v>
      </c>
      <c r="I283" s="8">
        <v>93.41</v>
      </c>
    </row>
    <row r="284" spans="1:9" x14ac:dyDescent="0.25">
      <c r="A284">
        <v>283</v>
      </c>
      <c r="B284" t="s">
        <v>18</v>
      </c>
      <c r="C284">
        <v>2</v>
      </c>
      <c r="D284">
        <v>88</v>
      </c>
      <c r="E284">
        <v>67</v>
      </c>
      <c r="F284">
        <v>1</v>
      </c>
      <c r="G284">
        <v>41.9</v>
      </c>
      <c r="H284" s="8">
        <v>0.15</v>
      </c>
      <c r="I284" s="8">
        <v>35.61</v>
      </c>
    </row>
    <row r="285" spans="1:9" x14ac:dyDescent="0.25">
      <c r="A285">
        <v>284</v>
      </c>
      <c r="B285" t="s">
        <v>257</v>
      </c>
      <c r="C285">
        <v>5</v>
      </c>
      <c r="D285">
        <v>190</v>
      </c>
      <c r="E285">
        <v>93</v>
      </c>
      <c r="F285">
        <v>1</v>
      </c>
      <c r="G285">
        <v>239.23</v>
      </c>
      <c r="H285" s="8">
        <v>0.05</v>
      </c>
      <c r="I285" s="8">
        <v>227.27</v>
      </c>
    </row>
    <row r="286" spans="1:9" x14ac:dyDescent="0.25">
      <c r="A286">
        <v>285</v>
      </c>
      <c r="B286" t="s">
        <v>258</v>
      </c>
      <c r="C286">
        <v>3</v>
      </c>
      <c r="D286">
        <v>148</v>
      </c>
      <c r="E286">
        <v>77</v>
      </c>
      <c r="F286">
        <v>1</v>
      </c>
      <c r="G286">
        <v>226.88</v>
      </c>
      <c r="H286" s="8">
        <v>0.2</v>
      </c>
      <c r="I286" s="8">
        <v>181.5</v>
      </c>
    </row>
    <row r="287" spans="1:9" x14ac:dyDescent="0.25">
      <c r="A287">
        <v>286</v>
      </c>
      <c r="B287" t="s">
        <v>16</v>
      </c>
      <c r="C287">
        <v>2</v>
      </c>
      <c r="D287">
        <v>35</v>
      </c>
      <c r="E287">
        <v>83</v>
      </c>
      <c r="F287">
        <v>1</v>
      </c>
      <c r="G287">
        <v>109.16</v>
      </c>
      <c r="H287" s="8">
        <v>0.1</v>
      </c>
      <c r="I287" s="8">
        <v>98.24</v>
      </c>
    </row>
    <row r="288" spans="1:9" x14ac:dyDescent="0.25">
      <c r="A288">
        <v>287</v>
      </c>
      <c r="B288" t="s">
        <v>259</v>
      </c>
      <c r="C288">
        <v>6</v>
      </c>
      <c r="D288">
        <v>80</v>
      </c>
      <c r="E288">
        <v>7</v>
      </c>
      <c r="F288">
        <v>1</v>
      </c>
      <c r="G288">
        <v>21.72</v>
      </c>
      <c r="H288" s="8">
        <v>0</v>
      </c>
      <c r="I288" s="8">
        <v>21.72</v>
      </c>
    </row>
    <row r="289" spans="1:9" x14ac:dyDescent="0.25">
      <c r="A289">
        <v>288</v>
      </c>
      <c r="B289" t="s">
        <v>239</v>
      </c>
      <c r="C289">
        <v>7</v>
      </c>
      <c r="D289">
        <v>217</v>
      </c>
      <c r="E289">
        <v>90</v>
      </c>
      <c r="F289">
        <v>2</v>
      </c>
      <c r="G289">
        <v>122.32</v>
      </c>
      <c r="H289" s="8">
        <v>0.2</v>
      </c>
      <c r="I289" s="8">
        <v>195.71</v>
      </c>
    </row>
    <row r="290" spans="1:9" x14ac:dyDescent="0.25">
      <c r="A290">
        <v>289</v>
      </c>
      <c r="B290" t="s">
        <v>260</v>
      </c>
      <c r="C290">
        <v>2</v>
      </c>
      <c r="D290">
        <v>167</v>
      </c>
      <c r="E290">
        <v>10</v>
      </c>
      <c r="F290">
        <v>1</v>
      </c>
      <c r="G290">
        <v>168.82</v>
      </c>
      <c r="H290" s="8">
        <v>0.05</v>
      </c>
      <c r="I290" s="8">
        <v>160.38</v>
      </c>
    </row>
    <row r="291" spans="1:9" x14ac:dyDescent="0.25">
      <c r="A291">
        <v>290</v>
      </c>
      <c r="B291" t="s">
        <v>261</v>
      </c>
      <c r="C291">
        <v>7</v>
      </c>
      <c r="D291">
        <v>135</v>
      </c>
      <c r="E291">
        <v>72</v>
      </c>
      <c r="F291">
        <v>1</v>
      </c>
      <c r="G291">
        <v>50.75</v>
      </c>
      <c r="H291" s="8">
        <v>0</v>
      </c>
      <c r="I291" s="8">
        <v>50.75</v>
      </c>
    </row>
    <row r="292" spans="1:9" x14ac:dyDescent="0.25">
      <c r="A292">
        <v>291</v>
      </c>
      <c r="B292" t="s">
        <v>69</v>
      </c>
      <c r="C292">
        <v>3</v>
      </c>
      <c r="D292">
        <v>216</v>
      </c>
      <c r="E292">
        <v>24</v>
      </c>
      <c r="F292">
        <v>5</v>
      </c>
      <c r="G292">
        <v>91.73</v>
      </c>
      <c r="H292" s="8">
        <v>0.1</v>
      </c>
      <c r="I292" s="8">
        <v>412.79</v>
      </c>
    </row>
    <row r="293" spans="1:9" x14ac:dyDescent="0.25">
      <c r="A293">
        <v>292</v>
      </c>
      <c r="B293" t="s">
        <v>262</v>
      </c>
      <c r="C293">
        <v>7</v>
      </c>
      <c r="D293">
        <v>130</v>
      </c>
      <c r="E293">
        <v>74</v>
      </c>
      <c r="F293">
        <v>1</v>
      </c>
      <c r="G293">
        <v>205.01</v>
      </c>
      <c r="H293" s="8">
        <v>0</v>
      </c>
      <c r="I293" s="8">
        <v>205.01</v>
      </c>
    </row>
    <row r="294" spans="1:9" x14ac:dyDescent="0.25">
      <c r="A294">
        <v>293</v>
      </c>
      <c r="B294" t="s">
        <v>263</v>
      </c>
      <c r="C294">
        <v>6</v>
      </c>
      <c r="D294">
        <v>42</v>
      </c>
      <c r="E294">
        <v>26</v>
      </c>
      <c r="F294">
        <v>2</v>
      </c>
      <c r="G294">
        <v>211.87</v>
      </c>
      <c r="H294" s="8">
        <v>0</v>
      </c>
      <c r="I294" s="8">
        <v>423.74</v>
      </c>
    </row>
    <row r="295" spans="1:9" x14ac:dyDescent="0.25">
      <c r="A295">
        <v>294</v>
      </c>
      <c r="B295" t="s">
        <v>264</v>
      </c>
      <c r="C295">
        <v>6</v>
      </c>
      <c r="D295">
        <v>101</v>
      </c>
      <c r="E295">
        <v>27</v>
      </c>
      <c r="F295">
        <v>1</v>
      </c>
      <c r="G295">
        <v>66.790000000000006</v>
      </c>
      <c r="H295" s="8">
        <v>0</v>
      </c>
      <c r="I295" s="8">
        <v>66.790000000000006</v>
      </c>
    </row>
    <row r="296" spans="1:9" x14ac:dyDescent="0.25">
      <c r="A296">
        <v>295</v>
      </c>
      <c r="B296" t="s">
        <v>105</v>
      </c>
      <c r="C296">
        <v>3</v>
      </c>
      <c r="D296">
        <v>34</v>
      </c>
      <c r="E296">
        <v>19</v>
      </c>
      <c r="F296">
        <v>1</v>
      </c>
      <c r="G296">
        <v>138.31</v>
      </c>
      <c r="H296" s="8">
        <v>0.1</v>
      </c>
      <c r="I296" s="8">
        <v>124.48</v>
      </c>
    </row>
    <row r="297" spans="1:9" x14ac:dyDescent="0.25">
      <c r="A297">
        <v>296</v>
      </c>
      <c r="B297" t="s">
        <v>265</v>
      </c>
      <c r="C297">
        <v>6</v>
      </c>
      <c r="D297">
        <v>8</v>
      </c>
      <c r="E297">
        <v>82</v>
      </c>
      <c r="F297">
        <v>1</v>
      </c>
      <c r="G297">
        <v>151.85</v>
      </c>
      <c r="H297" s="8">
        <v>0</v>
      </c>
      <c r="I297" s="8">
        <v>151.85</v>
      </c>
    </row>
    <row r="298" spans="1:9" x14ac:dyDescent="0.25">
      <c r="A298">
        <v>297</v>
      </c>
      <c r="B298" t="s">
        <v>266</v>
      </c>
      <c r="C298">
        <v>4</v>
      </c>
      <c r="D298">
        <v>201</v>
      </c>
      <c r="E298">
        <v>32</v>
      </c>
      <c r="F298">
        <v>1</v>
      </c>
      <c r="G298">
        <v>47.81</v>
      </c>
      <c r="H298" s="8">
        <v>0.05</v>
      </c>
      <c r="I298" s="8">
        <v>45.42</v>
      </c>
    </row>
    <row r="299" spans="1:9" x14ac:dyDescent="0.25">
      <c r="A299">
        <v>298</v>
      </c>
      <c r="B299" t="s">
        <v>185</v>
      </c>
      <c r="C299">
        <v>3</v>
      </c>
      <c r="D299">
        <v>114</v>
      </c>
      <c r="E299">
        <v>92</v>
      </c>
      <c r="F299">
        <v>1</v>
      </c>
      <c r="G299">
        <v>223.32</v>
      </c>
      <c r="H299" s="8">
        <v>0</v>
      </c>
      <c r="I299" s="8">
        <v>223.32</v>
      </c>
    </row>
    <row r="300" spans="1:9" x14ac:dyDescent="0.25">
      <c r="A300">
        <v>299</v>
      </c>
      <c r="B300" t="s">
        <v>267</v>
      </c>
      <c r="C300">
        <v>2</v>
      </c>
      <c r="D300">
        <v>54</v>
      </c>
      <c r="E300">
        <v>81</v>
      </c>
      <c r="F300">
        <v>1</v>
      </c>
      <c r="G300">
        <v>225.3</v>
      </c>
      <c r="H300" s="8">
        <v>0</v>
      </c>
      <c r="I300" s="8">
        <v>225.3</v>
      </c>
    </row>
    <row r="301" spans="1:9" x14ac:dyDescent="0.25">
      <c r="A301">
        <v>300</v>
      </c>
      <c r="B301" t="s">
        <v>268</v>
      </c>
      <c r="C301">
        <v>2</v>
      </c>
      <c r="D301">
        <v>72</v>
      </c>
      <c r="E301">
        <v>22</v>
      </c>
      <c r="F301">
        <v>2</v>
      </c>
      <c r="G301">
        <v>49.91</v>
      </c>
      <c r="H301" s="8">
        <v>0</v>
      </c>
      <c r="I301" s="8">
        <v>99.82</v>
      </c>
    </row>
    <row r="302" spans="1:9" x14ac:dyDescent="0.25">
      <c r="A302">
        <v>301</v>
      </c>
      <c r="B302" t="s">
        <v>47</v>
      </c>
      <c r="C302">
        <v>1</v>
      </c>
      <c r="D302">
        <v>136</v>
      </c>
      <c r="E302">
        <v>19</v>
      </c>
      <c r="F302">
        <v>1</v>
      </c>
      <c r="G302">
        <v>138.31</v>
      </c>
      <c r="H302" s="8">
        <v>0.05</v>
      </c>
      <c r="I302" s="8">
        <v>131.38999999999999</v>
      </c>
    </row>
    <row r="303" spans="1:9" x14ac:dyDescent="0.25">
      <c r="A303">
        <v>302</v>
      </c>
      <c r="B303" t="s">
        <v>269</v>
      </c>
      <c r="C303">
        <v>3</v>
      </c>
      <c r="D303">
        <v>11</v>
      </c>
      <c r="E303">
        <v>21</v>
      </c>
      <c r="F303">
        <v>1</v>
      </c>
      <c r="G303">
        <v>187.71</v>
      </c>
      <c r="H303" s="8">
        <v>0</v>
      </c>
      <c r="I303" s="8">
        <v>187.71</v>
      </c>
    </row>
    <row r="304" spans="1:9" x14ac:dyDescent="0.25">
      <c r="A304">
        <v>303</v>
      </c>
      <c r="B304" t="s">
        <v>270</v>
      </c>
      <c r="C304">
        <v>3</v>
      </c>
      <c r="D304">
        <v>136</v>
      </c>
      <c r="E304">
        <v>4</v>
      </c>
      <c r="F304">
        <v>1</v>
      </c>
      <c r="G304">
        <v>168</v>
      </c>
      <c r="H304" s="8">
        <v>0</v>
      </c>
      <c r="I304" s="8">
        <v>168</v>
      </c>
    </row>
    <row r="305" spans="1:9" x14ac:dyDescent="0.25">
      <c r="A305">
        <v>304</v>
      </c>
      <c r="B305" t="s">
        <v>271</v>
      </c>
      <c r="C305">
        <v>3</v>
      </c>
      <c r="D305">
        <v>180</v>
      </c>
      <c r="E305">
        <v>19</v>
      </c>
      <c r="F305">
        <v>1</v>
      </c>
      <c r="G305">
        <v>138.31</v>
      </c>
      <c r="H305" s="8">
        <v>0.15</v>
      </c>
      <c r="I305" s="8">
        <v>117.56</v>
      </c>
    </row>
    <row r="306" spans="1:9" x14ac:dyDescent="0.25">
      <c r="A306">
        <v>305</v>
      </c>
      <c r="B306" t="s">
        <v>272</v>
      </c>
      <c r="C306">
        <v>8</v>
      </c>
      <c r="D306">
        <v>141</v>
      </c>
      <c r="E306">
        <v>13</v>
      </c>
      <c r="F306">
        <v>2</v>
      </c>
      <c r="G306">
        <v>262.70999999999998</v>
      </c>
      <c r="H306" s="8">
        <v>0.05</v>
      </c>
      <c r="I306" s="8">
        <v>499.15</v>
      </c>
    </row>
    <row r="307" spans="1:9" x14ac:dyDescent="0.25">
      <c r="A307">
        <v>306</v>
      </c>
      <c r="B307" t="s">
        <v>273</v>
      </c>
      <c r="C307">
        <v>7</v>
      </c>
      <c r="D307">
        <v>109</v>
      </c>
      <c r="E307">
        <v>97</v>
      </c>
      <c r="F307">
        <v>1</v>
      </c>
      <c r="G307">
        <v>158.26</v>
      </c>
      <c r="H307" s="8">
        <v>0</v>
      </c>
      <c r="I307" s="8">
        <v>158.26</v>
      </c>
    </row>
    <row r="308" spans="1:9" x14ac:dyDescent="0.25">
      <c r="A308">
        <v>307</v>
      </c>
      <c r="B308" t="s">
        <v>274</v>
      </c>
      <c r="C308">
        <v>4</v>
      </c>
      <c r="D308">
        <v>145</v>
      </c>
      <c r="E308">
        <v>20</v>
      </c>
      <c r="F308">
        <v>1</v>
      </c>
      <c r="G308">
        <v>85.89</v>
      </c>
      <c r="H308" s="8">
        <v>0.1</v>
      </c>
      <c r="I308" s="8">
        <v>77.3</v>
      </c>
    </row>
    <row r="309" spans="1:9" x14ac:dyDescent="0.25">
      <c r="A309">
        <v>308</v>
      </c>
      <c r="B309" t="s">
        <v>275</v>
      </c>
      <c r="C309">
        <v>5</v>
      </c>
      <c r="D309">
        <v>114</v>
      </c>
      <c r="E309">
        <v>17</v>
      </c>
      <c r="F309">
        <v>2</v>
      </c>
      <c r="G309">
        <v>97.14</v>
      </c>
      <c r="H309" s="8">
        <v>0</v>
      </c>
      <c r="I309" s="8">
        <v>194.28</v>
      </c>
    </row>
    <row r="310" spans="1:9" x14ac:dyDescent="0.25">
      <c r="A310">
        <v>309</v>
      </c>
      <c r="B310" t="s">
        <v>233</v>
      </c>
      <c r="C310">
        <v>4</v>
      </c>
      <c r="D310">
        <v>50</v>
      </c>
      <c r="E310">
        <v>62</v>
      </c>
      <c r="F310">
        <v>1</v>
      </c>
      <c r="G310">
        <v>82.81</v>
      </c>
      <c r="H310" s="8">
        <v>0.2</v>
      </c>
      <c r="I310" s="8">
        <v>66.25</v>
      </c>
    </row>
    <row r="311" spans="1:9" x14ac:dyDescent="0.25">
      <c r="A311">
        <v>310</v>
      </c>
      <c r="B311" t="s">
        <v>276</v>
      </c>
      <c r="C311">
        <v>5</v>
      </c>
      <c r="D311">
        <v>215</v>
      </c>
      <c r="E311">
        <v>40</v>
      </c>
      <c r="F311">
        <v>2</v>
      </c>
      <c r="G311">
        <v>144.41999999999999</v>
      </c>
      <c r="H311" s="8">
        <v>0</v>
      </c>
      <c r="I311" s="8">
        <v>288.83999999999997</v>
      </c>
    </row>
    <row r="312" spans="1:9" x14ac:dyDescent="0.25">
      <c r="A312">
        <v>311</v>
      </c>
      <c r="B312" t="s">
        <v>236</v>
      </c>
      <c r="C312">
        <v>4</v>
      </c>
      <c r="D312">
        <v>19</v>
      </c>
      <c r="E312">
        <v>32</v>
      </c>
      <c r="F312">
        <v>1</v>
      </c>
      <c r="G312">
        <v>47.81</v>
      </c>
      <c r="H312" s="8">
        <v>0.1</v>
      </c>
      <c r="I312" s="8">
        <v>43.03</v>
      </c>
    </row>
    <row r="313" spans="1:9" x14ac:dyDescent="0.25">
      <c r="A313">
        <v>312</v>
      </c>
      <c r="B313" t="s">
        <v>277</v>
      </c>
      <c r="C313">
        <v>8</v>
      </c>
      <c r="D313">
        <v>48</v>
      </c>
      <c r="E313">
        <v>72</v>
      </c>
      <c r="F313">
        <v>1</v>
      </c>
      <c r="G313">
        <v>50.75</v>
      </c>
      <c r="H313" s="8">
        <v>0</v>
      </c>
      <c r="I313" s="8">
        <v>50.75</v>
      </c>
    </row>
    <row r="314" spans="1:9" x14ac:dyDescent="0.25">
      <c r="A314">
        <v>313</v>
      </c>
      <c r="B314" t="s">
        <v>37</v>
      </c>
      <c r="C314">
        <v>5</v>
      </c>
      <c r="D314">
        <v>137</v>
      </c>
      <c r="E314">
        <v>97</v>
      </c>
      <c r="F314">
        <v>1</v>
      </c>
      <c r="G314">
        <v>158.26</v>
      </c>
      <c r="H314" s="8">
        <v>0</v>
      </c>
      <c r="I314" s="8">
        <v>158.26</v>
      </c>
    </row>
    <row r="315" spans="1:9" x14ac:dyDescent="0.25">
      <c r="A315">
        <v>314</v>
      </c>
      <c r="B315" t="s">
        <v>278</v>
      </c>
      <c r="C315">
        <v>7</v>
      </c>
      <c r="D315">
        <v>47</v>
      </c>
      <c r="E315">
        <v>36</v>
      </c>
      <c r="F315">
        <v>1</v>
      </c>
      <c r="G315">
        <v>211.43</v>
      </c>
      <c r="H315" s="8">
        <v>0</v>
      </c>
      <c r="I315" s="8">
        <v>211.43</v>
      </c>
    </row>
    <row r="316" spans="1:9" x14ac:dyDescent="0.25">
      <c r="A316">
        <v>315</v>
      </c>
      <c r="B316" t="s">
        <v>279</v>
      </c>
      <c r="C316">
        <v>4</v>
      </c>
      <c r="D316">
        <v>45</v>
      </c>
      <c r="E316">
        <v>9</v>
      </c>
      <c r="F316">
        <v>4</v>
      </c>
      <c r="G316">
        <v>152.78</v>
      </c>
      <c r="H316" s="8">
        <v>0.15</v>
      </c>
      <c r="I316" s="8">
        <v>519.45000000000005</v>
      </c>
    </row>
    <row r="317" spans="1:9" x14ac:dyDescent="0.25">
      <c r="A317">
        <v>316</v>
      </c>
      <c r="B317" t="s">
        <v>280</v>
      </c>
      <c r="C317">
        <v>5</v>
      </c>
      <c r="D317">
        <v>146</v>
      </c>
      <c r="E317">
        <v>100</v>
      </c>
      <c r="F317">
        <v>1</v>
      </c>
      <c r="G317">
        <v>39.06</v>
      </c>
      <c r="H317" s="8">
        <v>0.1</v>
      </c>
      <c r="I317" s="8">
        <v>35.15</v>
      </c>
    </row>
    <row r="318" spans="1:9" x14ac:dyDescent="0.25">
      <c r="A318">
        <v>317</v>
      </c>
      <c r="B318" t="s">
        <v>281</v>
      </c>
      <c r="C318">
        <v>8</v>
      </c>
      <c r="D318">
        <v>163</v>
      </c>
      <c r="E318">
        <v>71</v>
      </c>
      <c r="F318">
        <v>1</v>
      </c>
      <c r="G318">
        <v>225.61</v>
      </c>
      <c r="H318" s="8">
        <v>0</v>
      </c>
      <c r="I318" s="8">
        <v>225.61</v>
      </c>
    </row>
    <row r="319" spans="1:9" x14ac:dyDescent="0.25">
      <c r="A319">
        <v>318</v>
      </c>
      <c r="B319" t="s">
        <v>282</v>
      </c>
      <c r="C319">
        <v>2</v>
      </c>
      <c r="D319">
        <v>180</v>
      </c>
      <c r="E319">
        <v>80</v>
      </c>
      <c r="F319">
        <v>1</v>
      </c>
      <c r="G319">
        <v>33.380000000000003</v>
      </c>
      <c r="H319" s="8">
        <v>0</v>
      </c>
      <c r="I319" s="8">
        <v>33.380000000000003</v>
      </c>
    </row>
    <row r="320" spans="1:9" x14ac:dyDescent="0.25">
      <c r="A320">
        <v>319</v>
      </c>
      <c r="B320" t="s">
        <v>283</v>
      </c>
      <c r="C320">
        <v>5</v>
      </c>
      <c r="D320">
        <v>198</v>
      </c>
      <c r="E320">
        <v>97</v>
      </c>
      <c r="F320">
        <v>1</v>
      </c>
      <c r="G320">
        <v>158.26</v>
      </c>
      <c r="H320" s="8">
        <v>0</v>
      </c>
      <c r="I320" s="8">
        <v>158.26</v>
      </c>
    </row>
    <row r="321" spans="1:9" x14ac:dyDescent="0.25">
      <c r="A321">
        <v>320</v>
      </c>
      <c r="B321" t="s">
        <v>284</v>
      </c>
      <c r="C321">
        <v>3</v>
      </c>
      <c r="D321">
        <v>6</v>
      </c>
      <c r="E321">
        <v>48</v>
      </c>
      <c r="F321">
        <v>1</v>
      </c>
      <c r="G321">
        <v>146.85</v>
      </c>
      <c r="H321" s="8">
        <v>0</v>
      </c>
      <c r="I321" s="8">
        <v>146.85</v>
      </c>
    </row>
    <row r="322" spans="1:9" x14ac:dyDescent="0.25">
      <c r="A322">
        <v>321</v>
      </c>
      <c r="B322" t="s">
        <v>285</v>
      </c>
      <c r="C322">
        <v>8</v>
      </c>
      <c r="D322">
        <v>217</v>
      </c>
      <c r="E322">
        <v>69</v>
      </c>
      <c r="F322">
        <v>1</v>
      </c>
      <c r="G322">
        <v>22.86</v>
      </c>
      <c r="H322" s="8">
        <v>0</v>
      </c>
      <c r="I322" s="8">
        <v>22.86</v>
      </c>
    </row>
    <row r="323" spans="1:9" x14ac:dyDescent="0.25">
      <c r="A323">
        <v>322</v>
      </c>
      <c r="B323" t="s">
        <v>286</v>
      </c>
      <c r="C323">
        <v>7</v>
      </c>
      <c r="D323">
        <v>8</v>
      </c>
      <c r="E323">
        <v>73</v>
      </c>
      <c r="F323">
        <v>1</v>
      </c>
      <c r="G323">
        <v>8.39</v>
      </c>
      <c r="H323" s="8">
        <v>0</v>
      </c>
      <c r="I323" s="8">
        <v>8.39</v>
      </c>
    </row>
    <row r="324" spans="1:9" x14ac:dyDescent="0.25">
      <c r="A324">
        <v>323</v>
      </c>
      <c r="B324" t="s">
        <v>141</v>
      </c>
      <c r="C324">
        <v>4</v>
      </c>
      <c r="D324">
        <v>84</v>
      </c>
      <c r="E324">
        <v>16</v>
      </c>
      <c r="F324">
        <v>1</v>
      </c>
      <c r="G324">
        <v>62.77</v>
      </c>
      <c r="H324" s="8">
        <v>0.05</v>
      </c>
      <c r="I324" s="8">
        <v>59.63</v>
      </c>
    </row>
    <row r="325" spans="1:9" x14ac:dyDescent="0.25">
      <c r="A325">
        <v>324</v>
      </c>
      <c r="B325" t="s">
        <v>287</v>
      </c>
      <c r="C325">
        <v>6</v>
      </c>
      <c r="D325">
        <v>59</v>
      </c>
      <c r="E325">
        <v>66</v>
      </c>
      <c r="F325">
        <v>1</v>
      </c>
      <c r="G325">
        <v>169.57</v>
      </c>
      <c r="H325" s="8">
        <v>0</v>
      </c>
      <c r="I325" s="8">
        <v>169.57</v>
      </c>
    </row>
    <row r="326" spans="1:9" x14ac:dyDescent="0.25">
      <c r="A326">
        <v>325</v>
      </c>
      <c r="B326" t="s">
        <v>288</v>
      </c>
      <c r="C326">
        <v>7</v>
      </c>
      <c r="D326">
        <v>28</v>
      </c>
      <c r="E326">
        <v>44</v>
      </c>
      <c r="F326">
        <v>1</v>
      </c>
      <c r="G326">
        <v>235.19</v>
      </c>
      <c r="H326" s="8">
        <v>0</v>
      </c>
      <c r="I326" s="8">
        <v>235.19</v>
      </c>
    </row>
    <row r="327" spans="1:9" x14ac:dyDescent="0.25">
      <c r="A327">
        <v>326</v>
      </c>
      <c r="B327" t="s">
        <v>289</v>
      </c>
      <c r="C327">
        <v>7</v>
      </c>
      <c r="D327">
        <v>155</v>
      </c>
      <c r="E327">
        <v>91</v>
      </c>
      <c r="F327">
        <v>2</v>
      </c>
      <c r="G327">
        <v>33.700000000000003</v>
      </c>
      <c r="H327" s="8">
        <v>0</v>
      </c>
      <c r="I327" s="8">
        <v>67.400000000000006</v>
      </c>
    </row>
    <row r="328" spans="1:9" x14ac:dyDescent="0.25">
      <c r="A328">
        <v>327</v>
      </c>
      <c r="B328" t="s">
        <v>61</v>
      </c>
      <c r="C328">
        <v>6</v>
      </c>
      <c r="D328">
        <v>2</v>
      </c>
      <c r="E328">
        <v>42</v>
      </c>
      <c r="F328">
        <v>2</v>
      </c>
      <c r="G328">
        <v>127.97</v>
      </c>
      <c r="H328" s="8">
        <v>0.05</v>
      </c>
      <c r="I328" s="8">
        <v>243.14</v>
      </c>
    </row>
    <row r="329" spans="1:9" x14ac:dyDescent="0.25">
      <c r="A329">
        <v>328</v>
      </c>
      <c r="B329" t="s">
        <v>290</v>
      </c>
      <c r="C329">
        <v>7</v>
      </c>
      <c r="D329">
        <v>131</v>
      </c>
      <c r="E329">
        <v>35</v>
      </c>
      <c r="F329">
        <v>1</v>
      </c>
      <c r="G329">
        <v>303.48</v>
      </c>
      <c r="H329" s="8">
        <v>0</v>
      </c>
      <c r="I329" s="8">
        <v>303.48</v>
      </c>
    </row>
    <row r="330" spans="1:9" x14ac:dyDescent="0.25">
      <c r="A330">
        <v>329</v>
      </c>
      <c r="B330" t="s">
        <v>195</v>
      </c>
      <c r="C330">
        <v>6</v>
      </c>
      <c r="D330">
        <v>16</v>
      </c>
      <c r="E330">
        <v>92</v>
      </c>
      <c r="F330">
        <v>2</v>
      </c>
      <c r="G330">
        <v>223.32</v>
      </c>
      <c r="H330" s="8">
        <v>0.05</v>
      </c>
      <c r="I330" s="8">
        <v>424.31</v>
      </c>
    </row>
    <row r="331" spans="1:9" x14ac:dyDescent="0.25">
      <c r="A331">
        <v>330</v>
      </c>
      <c r="B331" t="s">
        <v>182</v>
      </c>
      <c r="C331">
        <v>1</v>
      </c>
      <c r="D331">
        <v>197</v>
      </c>
      <c r="E331">
        <v>65</v>
      </c>
      <c r="F331">
        <v>1</v>
      </c>
      <c r="G331">
        <v>71.14</v>
      </c>
      <c r="H331" s="8">
        <v>0</v>
      </c>
      <c r="I331" s="8">
        <v>71.14</v>
      </c>
    </row>
    <row r="332" spans="1:9" x14ac:dyDescent="0.25">
      <c r="A332">
        <v>331</v>
      </c>
      <c r="B332" t="s">
        <v>291</v>
      </c>
      <c r="C332">
        <v>2</v>
      </c>
      <c r="D332">
        <v>184</v>
      </c>
      <c r="E332">
        <v>86</v>
      </c>
      <c r="F332">
        <v>1</v>
      </c>
      <c r="G332">
        <v>99.19</v>
      </c>
      <c r="H332" s="8">
        <v>0</v>
      </c>
      <c r="I332" s="8">
        <v>99.19</v>
      </c>
    </row>
    <row r="333" spans="1:9" x14ac:dyDescent="0.25">
      <c r="A333">
        <v>332</v>
      </c>
      <c r="B333" t="s">
        <v>292</v>
      </c>
      <c r="C333">
        <v>3</v>
      </c>
      <c r="D333">
        <v>146</v>
      </c>
      <c r="E333">
        <v>21</v>
      </c>
      <c r="F333">
        <v>1</v>
      </c>
      <c r="G333">
        <v>187.71</v>
      </c>
      <c r="H333" s="8">
        <v>0</v>
      </c>
      <c r="I333" s="8">
        <v>187.71</v>
      </c>
    </row>
    <row r="334" spans="1:9" x14ac:dyDescent="0.25">
      <c r="A334">
        <v>333</v>
      </c>
      <c r="B334" t="s">
        <v>207</v>
      </c>
      <c r="C334">
        <v>1</v>
      </c>
      <c r="D334">
        <v>140</v>
      </c>
      <c r="E334">
        <v>21</v>
      </c>
      <c r="F334">
        <v>1</v>
      </c>
      <c r="G334">
        <v>187.71</v>
      </c>
      <c r="H334" s="8">
        <v>0</v>
      </c>
      <c r="I334" s="8">
        <v>187.71</v>
      </c>
    </row>
    <row r="335" spans="1:9" x14ac:dyDescent="0.25">
      <c r="A335">
        <v>334</v>
      </c>
      <c r="B335" t="s">
        <v>242</v>
      </c>
      <c r="C335">
        <v>8</v>
      </c>
      <c r="D335">
        <v>105</v>
      </c>
      <c r="E335">
        <v>83</v>
      </c>
      <c r="F335">
        <v>1</v>
      </c>
      <c r="G335">
        <v>109.16</v>
      </c>
      <c r="H335" s="8">
        <v>0.05</v>
      </c>
      <c r="I335" s="8">
        <v>103.7</v>
      </c>
    </row>
    <row r="336" spans="1:9" x14ac:dyDescent="0.25">
      <c r="A336">
        <v>335</v>
      </c>
      <c r="B336" t="s">
        <v>293</v>
      </c>
      <c r="C336">
        <v>8</v>
      </c>
      <c r="D336">
        <v>119</v>
      </c>
      <c r="E336">
        <v>62</v>
      </c>
      <c r="F336">
        <v>5</v>
      </c>
      <c r="G336">
        <v>82.81</v>
      </c>
      <c r="H336" s="8">
        <v>0</v>
      </c>
      <c r="I336" s="8">
        <v>414.05</v>
      </c>
    </row>
    <row r="337" spans="1:9" x14ac:dyDescent="0.25">
      <c r="A337">
        <v>336</v>
      </c>
      <c r="B337" t="s">
        <v>155</v>
      </c>
      <c r="C337">
        <v>1</v>
      </c>
      <c r="D337">
        <v>148</v>
      </c>
      <c r="E337">
        <v>29</v>
      </c>
      <c r="F337">
        <v>1</v>
      </c>
      <c r="G337">
        <v>138.6</v>
      </c>
      <c r="H337" s="8">
        <v>0</v>
      </c>
      <c r="I337" s="8">
        <v>138.6</v>
      </c>
    </row>
    <row r="338" spans="1:9" x14ac:dyDescent="0.25">
      <c r="A338">
        <v>337</v>
      </c>
      <c r="B338" t="s">
        <v>294</v>
      </c>
      <c r="C338">
        <v>1</v>
      </c>
      <c r="D338">
        <v>178</v>
      </c>
      <c r="E338">
        <v>74</v>
      </c>
      <c r="F338">
        <v>1</v>
      </c>
      <c r="G338">
        <v>205.01</v>
      </c>
      <c r="H338" s="8">
        <v>0</v>
      </c>
      <c r="I338" s="8">
        <v>205.01</v>
      </c>
    </row>
    <row r="339" spans="1:9" x14ac:dyDescent="0.25">
      <c r="A339">
        <v>338</v>
      </c>
      <c r="B339" t="s">
        <v>229</v>
      </c>
      <c r="C339">
        <v>4</v>
      </c>
      <c r="D339">
        <v>56</v>
      </c>
      <c r="E339">
        <v>89</v>
      </c>
      <c r="F339">
        <v>2</v>
      </c>
      <c r="G339">
        <v>247.43</v>
      </c>
      <c r="H339" s="8">
        <v>0.15</v>
      </c>
      <c r="I339" s="8">
        <v>420.63</v>
      </c>
    </row>
    <row r="340" spans="1:9" x14ac:dyDescent="0.25">
      <c r="A340">
        <v>339</v>
      </c>
      <c r="B340" t="s">
        <v>295</v>
      </c>
      <c r="C340">
        <v>7</v>
      </c>
      <c r="D340">
        <v>79</v>
      </c>
      <c r="E340">
        <v>52</v>
      </c>
      <c r="F340">
        <v>1</v>
      </c>
      <c r="G340">
        <v>196.75</v>
      </c>
      <c r="H340" s="8">
        <v>0.05</v>
      </c>
      <c r="I340" s="8">
        <v>186.91</v>
      </c>
    </row>
    <row r="341" spans="1:9" x14ac:dyDescent="0.25">
      <c r="A341">
        <v>340</v>
      </c>
      <c r="B341" t="s">
        <v>201</v>
      </c>
      <c r="C341">
        <v>5</v>
      </c>
      <c r="D341">
        <v>146</v>
      </c>
      <c r="E341">
        <v>46</v>
      </c>
      <c r="F341">
        <v>1</v>
      </c>
      <c r="G341">
        <v>157</v>
      </c>
      <c r="H341" s="8">
        <v>0</v>
      </c>
      <c r="I341" s="8">
        <v>157</v>
      </c>
    </row>
    <row r="342" spans="1:9" x14ac:dyDescent="0.25">
      <c r="A342">
        <v>341</v>
      </c>
      <c r="B342" t="s">
        <v>296</v>
      </c>
      <c r="C342">
        <v>5</v>
      </c>
      <c r="D342">
        <v>62</v>
      </c>
      <c r="E342">
        <v>31</v>
      </c>
      <c r="F342">
        <v>1</v>
      </c>
      <c r="G342">
        <v>165.45</v>
      </c>
      <c r="H342" s="8">
        <v>0</v>
      </c>
      <c r="I342" s="8">
        <v>165.45</v>
      </c>
    </row>
    <row r="343" spans="1:9" x14ac:dyDescent="0.25">
      <c r="A343">
        <v>342</v>
      </c>
      <c r="B343" t="s">
        <v>297</v>
      </c>
      <c r="C343">
        <v>1</v>
      </c>
      <c r="D343">
        <v>153</v>
      </c>
      <c r="E343">
        <v>30</v>
      </c>
      <c r="F343">
        <v>1</v>
      </c>
      <c r="G343">
        <v>19.399999999999999</v>
      </c>
      <c r="H343" s="8">
        <v>0</v>
      </c>
      <c r="I343" s="8">
        <v>19.399999999999999</v>
      </c>
    </row>
    <row r="344" spans="1:9" x14ac:dyDescent="0.25">
      <c r="A344">
        <v>343</v>
      </c>
      <c r="B344" t="s">
        <v>298</v>
      </c>
      <c r="C344">
        <v>7</v>
      </c>
      <c r="D344">
        <v>89</v>
      </c>
      <c r="E344">
        <v>77</v>
      </c>
      <c r="F344">
        <v>1</v>
      </c>
      <c r="G344">
        <v>226.88</v>
      </c>
      <c r="H344" s="8">
        <v>0.05</v>
      </c>
      <c r="I344" s="8">
        <v>215.54</v>
      </c>
    </row>
    <row r="345" spans="1:9" x14ac:dyDescent="0.25">
      <c r="A345">
        <v>344</v>
      </c>
      <c r="B345" t="s">
        <v>299</v>
      </c>
      <c r="C345">
        <v>2</v>
      </c>
      <c r="D345">
        <v>111</v>
      </c>
      <c r="E345">
        <v>79</v>
      </c>
      <c r="F345">
        <v>1</v>
      </c>
      <c r="G345">
        <v>117.59</v>
      </c>
      <c r="H345" s="8">
        <v>0</v>
      </c>
      <c r="I345" s="8">
        <v>117.59</v>
      </c>
    </row>
    <row r="346" spans="1:9" x14ac:dyDescent="0.25">
      <c r="A346">
        <v>345</v>
      </c>
      <c r="B346" t="s">
        <v>201</v>
      </c>
      <c r="C346">
        <v>8</v>
      </c>
      <c r="D346">
        <v>191</v>
      </c>
      <c r="E346">
        <v>75</v>
      </c>
      <c r="F346">
        <v>1</v>
      </c>
      <c r="G346">
        <v>205.69</v>
      </c>
      <c r="H346" s="8">
        <v>0</v>
      </c>
      <c r="I346" s="8">
        <v>205.69</v>
      </c>
    </row>
    <row r="347" spans="1:9" x14ac:dyDescent="0.25">
      <c r="A347">
        <v>346</v>
      </c>
      <c r="B347" t="s">
        <v>300</v>
      </c>
      <c r="C347">
        <v>4</v>
      </c>
      <c r="D347">
        <v>82</v>
      </c>
      <c r="E347">
        <v>48</v>
      </c>
      <c r="F347">
        <v>2</v>
      </c>
      <c r="G347">
        <v>146.85</v>
      </c>
      <c r="H347" s="8">
        <v>0</v>
      </c>
      <c r="I347" s="8">
        <v>293.7</v>
      </c>
    </row>
    <row r="348" spans="1:9" x14ac:dyDescent="0.25">
      <c r="A348">
        <v>347</v>
      </c>
      <c r="B348" t="s">
        <v>301</v>
      </c>
      <c r="C348">
        <v>5</v>
      </c>
      <c r="D348">
        <v>169</v>
      </c>
      <c r="E348">
        <v>87</v>
      </c>
      <c r="F348">
        <v>1</v>
      </c>
      <c r="G348">
        <v>223.85</v>
      </c>
      <c r="H348" s="8">
        <v>0.15</v>
      </c>
      <c r="I348" s="8">
        <v>190.27</v>
      </c>
    </row>
    <row r="349" spans="1:9" x14ac:dyDescent="0.25">
      <c r="A349">
        <v>348</v>
      </c>
      <c r="B349" t="s">
        <v>218</v>
      </c>
      <c r="C349">
        <v>1</v>
      </c>
      <c r="D349">
        <v>25</v>
      </c>
      <c r="E349">
        <v>3</v>
      </c>
      <c r="F349">
        <v>1</v>
      </c>
      <c r="G349">
        <v>190.58</v>
      </c>
      <c r="H349" s="8">
        <v>0</v>
      </c>
      <c r="I349" s="8">
        <v>190.58</v>
      </c>
    </row>
    <row r="350" spans="1:9" x14ac:dyDescent="0.25">
      <c r="A350">
        <v>349</v>
      </c>
      <c r="B350" t="s">
        <v>302</v>
      </c>
      <c r="C350">
        <v>4</v>
      </c>
      <c r="D350">
        <v>178</v>
      </c>
      <c r="E350">
        <v>21</v>
      </c>
      <c r="F350">
        <v>1</v>
      </c>
      <c r="G350">
        <v>187.71</v>
      </c>
      <c r="H350" s="8">
        <v>0</v>
      </c>
      <c r="I350" s="8">
        <v>187.71</v>
      </c>
    </row>
    <row r="351" spans="1:9" x14ac:dyDescent="0.25">
      <c r="A351">
        <v>350</v>
      </c>
      <c r="B351" t="s">
        <v>303</v>
      </c>
      <c r="C351">
        <v>3</v>
      </c>
      <c r="D351">
        <v>191</v>
      </c>
      <c r="E351">
        <v>85</v>
      </c>
      <c r="F351">
        <v>1</v>
      </c>
      <c r="G351">
        <v>83.36</v>
      </c>
      <c r="H351" s="8">
        <v>0.1</v>
      </c>
      <c r="I351" s="8">
        <v>75.02</v>
      </c>
    </row>
    <row r="352" spans="1:9" x14ac:dyDescent="0.25">
      <c r="A352">
        <v>351</v>
      </c>
      <c r="B352" t="s">
        <v>304</v>
      </c>
      <c r="C352">
        <v>6</v>
      </c>
      <c r="D352">
        <v>59</v>
      </c>
      <c r="E352">
        <v>33</v>
      </c>
      <c r="F352">
        <v>1</v>
      </c>
      <c r="G352">
        <v>21.23</v>
      </c>
      <c r="H352" s="8">
        <v>0.05</v>
      </c>
      <c r="I352" s="8">
        <v>20.170000000000002</v>
      </c>
    </row>
    <row r="353" spans="1:9" x14ac:dyDescent="0.25">
      <c r="A353">
        <v>352</v>
      </c>
      <c r="B353" t="s">
        <v>305</v>
      </c>
      <c r="C353">
        <v>1</v>
      </c>
      <c r="D353">
        <v>165</v>
      </c>
      <c r="E353">
        <v>50</v>
      </c>
      <c r="F353">
        <v>1</v>
      </c>
      <c r="G353">
        <v>52.54</v>
      </c>
      <c r="H353" s="8">
        <v>0</v>
      </c>
      <c r="I353" s="8">
        <v>52.54</v>
      </c>
    </row>
    <row r="354" spans="1:9" x14ac:dyDescent="0.25">
      <c r="A354">
        <v>353</v>
      </c>
      <c r="B354" t="s">
        <v>306</v>
      </c>
      <c r="C354">
        <v>8</v>
      </c>
      <c r="D354">
        <v>137</v>
      </c>
      <c r="E354">
        <v>39</v>
      </c>
      <c r="F354">
        <v>1</v>
      </c>
      <c r="G354">
        <v>181.34</v>
      </c>
      <c r="H354" s="8">
        <v>0</v>
      </c>
      <c r="I354" s="8">
        <v>181.34</v>
      </c>
    </row>
    <row r="355" spans="1:9" x14ac:dyDescent="0.25">
      <c r="A355">
        <v>354</v>
      </c>
      <c r="B355" t="s">
        <v>273</v>
      </c>
      <c r="C355">
        <v>7</v>
      </c>
      <c r="D355">
        <v>117</v>
      </c>
      <c r="E355">
        <v>51</v>
      </c>
      <c r="F355">
        <v>1</v>
      </c>
      <c r="G355">
        <v>302.75</v>
      </c>
      <c r="H355" s="8">
        <v>0</v>
      </c>
      <c r="I355" s="8">
        <v>302.75</v>
      </c>
    </row>
    <row r="356" spans="1:9" x14ac:dyDescent="0.25">
      <c r="A356">
        <v>355</v>
      </c>
      <c r="B356" t="s">
        <v>307</v>
      </c>
      <c r="C356">
        <v>5</v>
      </c>
      <c r="D356">
        <v>131</v>
      </c>
      <c r="E356">
        <v>25</v>
      </c>
      <c r="F356">
        <v>1</v>
      </c>
      <c r="G356">
        <v>117.41</v>
      </c>
      <c r="H356" s="8">
        <v>0.1</v>
      </c>
      <c r="I356" s="8">
        <v>105.67</v>
      </c>
    </row>
    <row r="357" spans="1:9" x14ac:dyDescent="0.25">
      <c r="A357">
        <v>356</v>
      </c>
      <c r="B357" t="s">
        <v>300</v>
      </c>
      <c r="C357">
        <v>6</v>
      </c>
      <c r="D357">
        <v>57</v>
      </c>
      <c r="E357">
        <v>6</v>
      </c>
      <c r="F357">
        <v>1</v>
      </c>
      <c r="G357">
        <v>44.63</v>
      </c>
      <c r="H357" s="8">
        <v>0.1</v>
      </c>
      <c r="I357" s="8">
        <v>40.17</v>
      </c>
    </row>
    <row r="358" spans="1:9" x14ac:dyDescent="0.25">
      <c r="A358">
        <v>357</v>
      </c>
      <c r="B358" t="s">
        <v>305</v>
      </c>
      <c r="C358">
        <v>6</v>
      </c>
      <c r="D358">
        <v>161</v>
      </c>
      <c r="E358">
        <v>35</v>
      </c>
      <c r="F358">
        <v>2</v>
      </c>
      <c r="G358">
        <v>303.48</v>
      </c>
      <c r="H358" s="8">
        <v>0.05</v>
      </c>
      <c r="I358" s="8">
        <v>576.61</v>
      </c>
    </row>
    <row r="359" spans="1:9" x14ac:dyDescent="0.25">
      <c r="A359">
        <v>358</v>
      </c>
      <c r="B359" t="s">
        <v>84</v>
      </c>
      <c r="C359">
        <v>2</v>
      </c>
      <c r="D359">
        <v>192</v>
      </c>
      <c r="E359">
        <v>58</v>
      </c>
      <c r="F359">
        <v>2</v>
      </c>
      <c r="G359">
        <v>64.400000000000006</v>
      </c>
      <c r="H359" s="8">
        <v>0</v>
      </c>
      <c r="I359" s="8">
        <v>128.80000000000001</v>
      </c>
    </row>
    <row r="360" spans="1:9" x14ac:dyDescent="0.25">
      <c r="A360">
        <v>359</v>
      </c>
      <c r="B360" t="s">
        <v>52</v>
      </c>
      <c r="C360">
        <v>3</v>
      </c>
      <c r="D360">
        <v>66</v>
      </c>
      <c r="E360">
        <v>17</v>
      </c>
      <c r="F360">
        <v>1</v>
      </c>
      <c r="G360">
        <v>97.14</v>
      </c>
      <c r="H360" s="8">
        <v>0</v>
      </c>
      <c r="I360" s="8">
        <v>97.14</v>
      </c>
    </row>
    <row r="361" spans="1:9" x14ac:dyDescent="0.25">
      <c r="A361">
        <v>360</v>
      </c>
      <c r="B361" t="s">
        <v>308</v>
      </c>
      <c r="C361">
        <v>6</v>
      </c>
      <c r="D361">
        <v>67</v>
      </c>
      <c r="E361">
        <v>68</v>
      </c>
      <c r="F361">
        <v>3</v>
      </c>
      <c r="G361">
        <v>198.56</v>
      </c>
      <c r="H361" s="8">
        <v>0</v>
      </c>
      <c r="I361" s="8">
        <v>595.67999999999995</v>
      </c>
    </row>
    <row r="362" spans="1:9" x14ac:dyDescent="0.25">
      <c r="A362">
        <v>361</v>
      </c>
      <c r="B362" t="s">
        <v>112</v>
      </c>
      <c r="C362">
        <v>3</v>
      </c>
      <c r="D362">
        <v>172</v>
      </c>
      <c r="E362">
        <v>39</v>
      </c>
      <c r="F362">
        <v>1</v>
      </c>
      <c r="G362">
        <v>181.34</v>
      </c>
      <c r="H362" s="8">
        <v>0.05</v>
      </c>
      <c r="I362" s="8">
        <v>172.27</v>
      </c>
    </row>
    <row r="363" spans="1:9" x14ac:dyDescent="0.25">
      <c r="A363">
        <v>362</v>
      </c>
      <c r="B363" t="s">
        <v>309</v>
      </c>
      <c r="C363">
        <v>8</v>
      </c>
      <c r="D363">
        <v>163</v>
      </c>
      <c r="E363">
        <v>57</v>
      </c>
      <c r="F363">
        <v>1</v>
      </c>
      <c r="G363">
        <v>32.28</v>
      </c>
      <c r="H363" s="8">
        <v>0</v>
      </c>
      <c r="I363" s="8">
        <v>32.28</v>
      </c>
    </row>
    <row r="364" spans="1:9" x14ac:dyDescent="0.25">
      <c r="A364">
        <v>363</v>
      </c>
      <c r="B364" t="s">
        <v>310</v>
      </c>
      <c r="C364">
        <v>3</v>
      </c>
      <c r="D364">
        <v>112</v>
      </c>
      <c r="E364">
        <v>16</v>
      </c>
      <c r="F364">
        <v>1</v>
      </c>
      <c r="G364">
        <v>62.77</v>
      </c>
      <c r="H364" s="8">
        <v>0</v>
      </c>
      <c r="I364" s="8">
        <v>62.77</v>
      </c>
    </row>
    <row r="365" spans="1:9" x14ac:dyDescent="0.25">
      <c r="A365">
        <v>364</v>
      </c>
      <c r="B365" t="s">
        <v>123</v>
      </c>
      <c r="C365">
        <v>8</v>
      </c>
      <c r="D365">
        <v>134</v>
      </c>
      <c r="E365">
        <v>19</v>
      </c>
      <c r="F365">
        <v>1</v>
      </c>
      <c r="G365">
        <v>138.31</v>
      </c>
      <c r="H365" s="8">
        <v>0.1</v>
      </c>
      <c r="I365" s="8">
        <v>124.48</v>
      </c>
    </row>
    <row r="366" spans="1:9" x14ac:dyDescent="0.25">
      <c r="A366">
        <v>365</v>
      </c>
      <c r="B366" t="s">
        <v>60</v>
      </c>
      <c r="C366">
        <v>5</v>
      </c>
      <c r="D366">
        <v>6</v>
      </c>
      <c r="E366">
        <v>95</v>
      </c>
      <c r="F366">
        <v>2</v>
      </c>
      <c r="G366">
        <v>201.94</v>
      </c>
      <c r="H366" s="8">
        <v>0.15</v>
      </c>
      <c r="I366" s="8">
        <v>343.3</v>
      </c>
    </row>
    <row r="367" spans="1:9" x14ac:dyDescent="0.25">
      <c r="A367">
        <v>366</v>
      </c>
      <c r="B367" t="s">
        <v>311</v>
      </c>
      <c r="C367">
        <v>1</v>
      </c>
      <c r="D367">
        <v>99</v>
      </c>
      <c r="E367">
        <v>67</v>
      </c>
      <c r="F367">
        <v>2</v>
      </c>
      <c r="G367">
        <v>41.9</v>
      </c>
      <c r="H367" s="8">
        <v>0.05</v>
      </c>
      <c r="I367" s="8">
        <v>79.61</v>
      </c>
    </row>
    <row r="368" spans="1:9" x14ac:dyDescent="0.25">
      <c r="A368">
        <v>367</v>
      </c>
      <c r="B368" t="s">
        <v>312</v>
      </c>
      <c r="C368">
        <v>1</v>
      </c>
      <c r="D368">
        <v>68</v>
      </c>
      <c r="E368">
        <v>26</v>
      </c>
      <c r="F368">
        <v>1</v>
      </c>
      <c r="G368">
        <v>211.87</v>
      </c>
      <c r="H368" s="8">
        <v>0.1</v>
      </c>
      <c r="I368" s="8">
        <v>190.68</v>
      </c>
    </row>
    <row r="369" spans="1:9" x14ac:dyDescent="0.25">
      <c r="A369">
        <v>368</v>
      </c>
      <c r="B369" t="s">
        <v>313</v>
      </c>
      <c r="C369">
        <v>5</v>
      </c>
      <c r="D369">
        <v>206</v>
      </c>
      <c r="E369">
        <v>59</v>
      </c>
      <c r="F369">
        <v>1</v>
      </c>
      <c r="G369">
        <v>17.41</v>
      </c>
      <c r="H369" s="8">
        <v>0.05</v>
      </c>
      <c r="I369" s="8">
        <v>16.54</v>
      </c>
    </row>
    <row r="370" spans="1:9" x14ac:dyDescent="0.25">
      <c r="A370">
        <v>369</v>
      </c>
      <c r="B370" t="s">
        <v>314</v>
      </c>
      <c r="C370">
        <v>8</v>
      </c>
      <c r="D370">
        <v>11</v>
      </c>
      <c r="E370">
        <v>40</v>
      </c>
      <c r="F370">
        <v>1</v>
      </c>
      <c r="G370">
        <v>144.41999999999999</v>
      </c>
      <c r="H370" s="8">
        <v>0.05</v>
      </c>
      <c r="I370" s="8">
        <v>137.19999999999999</v>
      </c>
    </row>
    <row r="371" spans="1:9" x14ac:dyDescent="0.25">
      <c r="A371">
        <v>370</v>
      </c>
      <c r="B371" t="s">
        <v>315</v>
      </c>
      <c r="C371">
        <v>1</v>
      </c>
      <c r="D371">
        <v>189</v>
      </c>
      <c r="E371">
        <v>66</v>
      </c>
      <c r="F371">
        <v>1</v>
      </c>
      <c r="G371">
        <v>169.57</v>
      </c>
      <c r="H371" s="8">
        <v>0</v>
      </c>
      <c r="I371" s="8">
        <v>169.57</v>
      </c>
    </row>
    <row r="372" spans="1:9" x14ac:dyDescent="0.25">
      <c r="A372">
        <v>371</v>
      </c>
      <c r="B372" t="s">
        <v>316</v>
      </c>
      <c r="C372">
        <v>5</v>
      </c>
      <c r="D372">
        <v>112</v>
      </c>
      <c r="E372">
        <v>11</v>
      </c>
      <c r="F372">
        <v>1</v>
      </c>
      <c r="G372">
        <v>11.53</v>
      </c>
      <c r="H372" s="8">
        <v>0.05</v>
      </c>
      <c r="I372" s="8">
        <v>10.95</v>
      </c>
    </row>
    <row r="373" spans="1:9" x14ac:dyDescent="0.25">
      <c r="A373">
        <v>372</v>
      </c>
      <c r="B373" t="s">
        <v>317</v>
      </c>
      <c r="C373">
        <v>1</v>
      </c>
      <c r="D373">
        <v>135</v>
      </c>
      <c r="E373">
        <v>14</v>
      </c>
      <c r="F373">
        <v>2</v>
      </c>
      <c r="G373">
        <v>70.08</v>
      </c>
      <c r="H373" s="8">
        <v>0</v>
      </c>
      <c r="I373" s="8">
        <v>140.16</v>
      </c>
    </row>
    <row r="374" spans="1:9" x14ac:dyDescent="0.25">
      <c r="A374">
        <v>373</v>
      </c>
      <c r="B374" t="s">
        <v>318</v>
      </c>
      <c r="C374">
        <v>5</v>
      </c>
      <c r="D374">
        <v>188</v>
      </c>
      <c r="E374">
        <v>45</v>
      </c>
      <c r="F374">
        <v>1</v>
      </c>
      <c r="G374">
        <v>70.989999999999995</v>
      </c>
      <c r="H374" s="8">
        <v>0.15</v>
      </c>
      <c r="I374" s="8">
        <v>60.34</v>
      </c>
    </row>
    <row r="375" spans="1:9" x14ac:dyDescent="0.25">
      <c r="A375">
        <v>374</v>
      </c>
      <c r="B375" t="s">
        <v>319</v>
      </c>
      <c r="C375">
        <v>6</v>
      </c>
      <c r="D375">
        <v>13</v>
      </c>
      <c r="E375">
        <v>5</v>
      </c>
      <c r="F375">
        <v>2</v>
      </c>
      <c r="G375">
        <v>55.26</v>
      </c>
      <c r="H375" s="8">
        <v>0</v>
      </c>
      <c r="I375" s="8">
        <v>110.52</v>
      </c>
    </row>
    <row r="376" spans="1:9" x14ac:dyDescent="0.25">
      <c r="A376">
        <v>375</v>
      </c>
      <c r="B376" t="s">
        <v>222</v>
      </c>
      <c r="C376">
        <v>7</v>
      </c>
      <c r="D376">
        <v>3</v>
      </c>
      <c r="E376">
        <v>71</v>
      </c>
      <c r="F376">
        <v>1</v>
      </c>
      <c r="G376">
        <v>225.61</v>
      </c>
      <c r="H376" s="8">
        <v>0</v>
      </c>
      <c r="I376" s="8">
        <v>225.61</v>
      </c>
    </row>
    <row r="377" spans="1:9" x14ac:dyDescent="0.25">
      <c r="A377">
        <v>376</v>
      </c>
      <c r="B377" t="s">
        <v>235</v>
      </c>
      <c r="C377">
        <v>7</v>
      </c>
      <c r="D377">
        <v>188</v>
      </c>
      <c r="E377">
        <v>68</v>
      </c>
      <c r="F377">
        <v>1</v>
      </c>
      <c r="G377">
        <v>198.56</v>
      </c>
      <c r="H377" s="8">
        <v>0</v>
      </c>
      <c r="I377" s="8">
        <v>198.56</v>
      </c>
    </row>
    <row r="378" spans="1:9" x14ac:dyDescent="0.25">
      <c r="A378">
        <v>377</v>
      </c>
      <c r="B378" t="s">
        <v>320</v>
      </c>
      <c r="C378">
        <v>3</v>
      </c>
      <c r="D378">
        <v>218</v>
      </c>
      <c r="E378">
        <v>21</v>
      </c>
      <c r="F378">
        <v>1</v>
      </c>
      <c r="G378">
        <v>187.71</v>
      </c>
      <c r="H378" s="8">
        <v>0.2</v>
      </c>
      <c r="I378" s="8">
        <v>150.16999999999999</v>
      </c>
    </row>
    <row r="379" spans="1:9" x14ac:dyDescent="0.25">
      <c r="A379">
        <v>378</v>
      </c>
      <c r="B379" t="s">
        <v>321</v>
      </c>
      <c r="C379">
        <v>8</v>
      </c>
      <c r="D379">
        <v>63</v>
      </c>
      <c r="E379">
        <v>42</v>
      </c>
      <c r="F379">
        <v>2</v>
      </c>
      <c r="G379">
        <v>127.97</v>
      </c>
      <c r="H379" s="8">
        <v>0</v>
      </c>
      <c r="I379" s="8">
        <v>255.94</v>
      </c>
    </row>
    <row r="380" spans="1:9" x14ac:dyDescent="0.25">
      <c r="A380">
        <v>379</v>
      </c>
      <c r="B380" t="s">
        <v>137</v>
      </c>
      <c r="C380">
        <v>5</v>
      </c>
      <c r="D380">
        <v>133</v>
      </c>
      <c r="E380">
        <v>87</v>
      </c>
      <c r="F380">
        <v>1</v>
      </c>
      <c r="G380">
        <v>223.85</v>
      </c>
      <c r="H380" s="8">
        <v>0.2</v>
      </c>
      <c r="I380" s="8">
        <v>179.08</v>
      </c>
    </row>
    <row r="381" spans="1:9" x14ac:dyDescent="0.25">
      <c r="A381">
        <v>380</v>
      </c>
      <c r="B381" t="s">
        <v>322</v>
      </c>
      <c r="C381">
        <v>7</v>
      </c>
      <c r="D381">
        <v>94</v>
      </c>
      <c r="E381">
        <v>59</v>
      </c>
      <c r="F381">
        <v>1</v>
      </c>
      <c r="G381">
        <v>17.41</v>
      </c>
      <c r="H381" s="8">
        <v>0.1</v>
      </c>
      <c r="I381" s="8">
        <v>15.67</v>
      </c>
    </row>
    <row r="382" spans="1:9" x14ac:dyDescent="0.25">
      <c r="A382">
        <v>381</v>
      </c>
      <c r="B382" t="s">
        <v>83</v>
      </c>
      <c r="C382">
        <v>7</v>
      </c>
      <c r="D382">
        <v>4</v>
      </c>
      <c r="E382">
        <v>99</v>
      </c>
      <c r="F382">
        <v>2</v>
      </c>
      <c r="G382">
        <v>15.44</v>
      </c>
      <c r="H382" s="8">
        <v>0</v>
      </c>
      <c r="I382" s="8">
        <v>30.88</v>
      </c>
    </row>
    <row r="383" spans="1:9" x14ac:dyDescent="0.25">
      <c r="A383">
        <v>382</v>
      </c>
      <c r="B383" t="s">
        <v>323</v>
      </c>
      <c r="C383">
        <v>5</v>
      </c>
      <c r="D383">
        <v>89</v>
      </c>
      <c r="E383">
        <v>37</v>
      </c>
      <c r="F383">
        <v>2</v>
      </c>
      <c r="G383">
        <v>88.87</v>
      </c>
      <c r="H383" s="8">
        <v>0</v>
      </c>
      <c r="I383" s="8">
        <v>177.74</v>
      </c>
    </row>
    <row r="384" spans="1:9" x14ac:dyDescent="0.25">
      <c r="A384">
        <v>383</v>
      </c>
      <c r="B384" t="s">
        <v>324</v>
      </c>
      <c r="C384">
        <v>2</v>
      </c>
      <c r="D384">
        <v>17</v>
      </c>
      <c r="E384">
        <v>5</v>
      </c>
      <c r="F384">
        <v>1</v>
      </c>
      <c r="G384">
        <v>55.26</v>
      </c>
      <c r="H384" s="8">
        <v>0</v>
      </c>
      <c r="I384" s="8">
        <v>55.26</v>
      </c>
    </row>
    <row r="385" spans="1:9" x14ac:dyDescent="0.25">
      <c r="A385">
        <v>384</v>
      </c>
      <c r="B385" t="s">
        <v>325</v>
      </c>
      <c r="C385">
        <v>6</v>
      </c>
      <c r="D385">
        <v>97</v>
      </c>
      <c r="E385">
        <v>34</v>
      </c>
      <c r="F385">
        <v>2</v>
      </c>
      <c r="G385">
        <v>247.04</v>
      </c>
      <c r="H385" s="8">
        <v>0.05</v>
      </c>
      <c r="I385" s="8">
        <v>469.38</v>
      </c>
    </row>
    <row r="386" spans="1:9" x14ac:dyDescent="0.25">
      <c r="A386">
        <v>385</v>
      </c>
      <c r="B386" t="s">
        <v>268</v>
      </c>
      <c r="C386">
        <v>5</v>
      </c>
      <c r="D386">
        <v>68</v>
      </c>
      <c r="E386">
        <v>1</v>
      </c>
      <c r="F386">
        <v>2</v>
      </c>
      <c r="G386">
        <v>90.53</v>
      </c>
      <c r="H386" s="8">
        <v>0.05</v>
      </c>
      <c r="I386" s="8">
        <v>172.01</v>
      </c>
    </row>
    <row r="387" spans="1:9" x14ac:dyDescent="0.25">
      <c r="A387">
        <v>386</v>
      </c>
      <c r="B387" t="s">
        <v>326</v>
      </c>
      <c r="C387">
        <v>7</v>
      </c>
      <c r="D387">
        <v>148</v>
      </c>
      <c r="E387">
        <v>18</v>
      </c>
      <c r="F387">
        <v>1</v>
      </c>
      <c r="G387">
        <v>132.02000000000001</v>
      </c>
      <c r="H387" s="8">
        <v>0.05</v>
      </c>
      <c r="I387" s="8">
        <v>125.42</v>
      </c>
    </row>
    <row r="388" spans="1:9" x14ac:dyDescent="0.25">
      <c r="A388">
        <v>387</v>
      </c>
      <c r="B388" t="s">
        <v>327</v>
      </c>
      <c r="C388">
        <v>8</v>
      </c>
      <c r="D388">
        <v>134</v>
      </c>
      <c r="E388">
        <v>1</v>
      </c>
      <c r="F388">
        <v>1</v>
      </c>
      <c r="G388">
        <v>90.53</v>
      </c>
      <c r="H388" s="8">
        <v>0.1</v>
      </c>
      <c r="I388" s="8">
        <v>81.48</v>
      </c>
    </row>
    <row r="389" spans="1:9" x14ac:dyDescent="0.25">
      <c r="A389">
        <v>388</v>
      </c>
      <c r="B389" t="s">
        <v>328</v>
      </c>
      <c r="C389">
        <v>8</v>
      </c>
      <c r="D389">
        <v>196</v>
      </c>
      <c r="E389">
        <v>22</v>
      </c>
      <c r="F389">
        <v>1</v>
      </c>
      <c r="G389">
        <v>49.91</v>
      </c>
      <c r="H389" s="8">
        <v>0</v>
      </c>
      <c r="I389" s="8">
        <v>49.91</v>
      </c>
    </row>
    <row r="390" spans="1:9" x14ac:dyDescent="0.25">
      <c r="A390">
        <v>389</v>
      </c>
      <c r="B390" t="s">
        <v>215</v>
      </c>
      <c r="C390">
        <v>6</v>
      </c>
      <c r="D390">
        <v>120</v>
      </c>
      <c r="E390">
        <v>46</v>
      </c>
      <c r="F390">
        <v>1</v>
      </c>
      <c r="G390">
        <v>157</v>
      </c>
      <c r="H390" s="8">
        <v>0</v>
      </c>
      <c r="I390" s="8">
        <v>157</v>
      </c>
    </row>
    <row r="391" spans="1:9" x14ac:dyDescent="0.25">
      <c r="A391">
        <v>390</v>
      </c>
      <c r="B391" t="s">
        <v>329</v>
      </c>
      <c r="C391">
        <v>5</v>
      </c>
      <c r="D391">
        <v>184</v>
      </c>
      <c r="E391">
        <v>85</v>
      </c>
      <c r="F391">
        <v>1</v>
      </c>
      <c r="G391">
        <v>83.36</v>
      </c>
      <c r="H391" s="8">
        <v>0.05</v>
      </c>
      <c r="I391" s="8">
        <v>79.19</v>
      </c>
    </row>
    <row r="392" spans="1:9" x14ac:dyDescent="0.25">
      <c r="A392">
        <v>391</v>
      </c>
      <c r="B392" t="s">
        <v>330</v>
      </c>
      <c r="C392">
        <v>2</v>
      </c>
      <c r="D392">
        <v>12</v>
      </c>
      <c r="E392">
        <v>18</v>
      </c>
      <c r="F392">
        <v>1</v>
      </c>
      <c r="G392">
        <v>132.02000000000001</v>
      </c>
      <c r="H392" s="8">
        <v>0.2</v>
      </c>
      <c r="I392" s="8">
        <v>105.62</v>
      </c>
    </row>
    <row r="393" spans="1:9" x14ac:dyDescent="0.25">
      <c r="A393">
        <v>392</v>
      </c>
      <c r="B393" t="s">
        <v>331</v>
      </c>
      <c r="C393">
        <v>6</v>
      </c>
      <c r="D393">
        <v>129</v>
      </c>
      <c r="E393">
        <v>82</v>
      </c>
      <c r="F393">
        <v>1</v>
      </c>
      <c r="G393">
        <v>151.85</v>
      </c>
      <c r="H393" s="8">
        <v>0.05</v>
      </c>
      <c r="I393" s="8">
        <v>144.26</v>
      </c>
    </row>
    <row r="394" spans="1:9" x14ac:dyDescent="0.25">
      <c r="A394">
        <v>393</v>
      </c>
      <c r="B394" t="s">
        <v>332</v>
      </c>
      <c r="C394">
        <v>1</v>
      </c>
      <c r="D394">
        <v>18</v>
      </c>
      <c r="E394">
        <v>63</v>
      </c>
      <c r="F394">
        <v>1</v>
      </c>
      <c r="G394">
        <v>239.9</v>
      </c>
      <c r="H394" s="8">
        <v>0.1</v>
      </c>
      <c r="I394" s="8">
        <v>215.91</v>
      </c>
    </row>
    <row r="395" spans="1:9" x14ac:dyDescent="0.25">
      <c r="A395">
        <v>394</v>
      </c>
      <c r="B395" t="s">
        <v>333</v>
      </c>
      <c r="C395">
        <v>8</v>
      </c>
      <c r="D395">
        <v>135</v>
      </c>
      <c r="E395">
        <v>43</v>
      </c>
      <c r="F395">
        <v>2</v>
      </c>
      <c r="G395">
        <v>16.04</v>
      </c>
      <c r="H395" s="8">
        <v>0.1</v>
      </c>
      <c r="I395" s="8">
        <v>28.87</v>
      </c>
    </row>
    <row r="396" spans="1:9" x14ac:dyDescent="0.25">
      <c r="A396">
        <v>395</v>
      </c>
      <c r="B396" t="s">
        <v>334</v>
      </c>
      <c r="C396">
        <v>3</v>
      </c>
      <c r="D396">
        <v>169</v>
      </c>
      <c r="E396">
        <v>81</v>
      </c>
      <c r="F396">
        <v>1</v>
      </c>
      <c r="G396">
        <v>225.3</v>
      </c>
      <c r="H396" s="8">
        <v>0.05</v>
      </c>
      <c r="I396" s="8">
        <v>214.03</v>
      </c>
    </row>
    <row r="397" spans="1:9" x14ac:dyDescent="0.25">
      <c r="A397">
        <v>396</v>
      </c>
      <c r="B397" t="s">
        <v>335</v>
      </c>
      <c r="C397">
        <v>4</v>
      </c>
      <c r="D397">
        <v>216</v>
      </c>
      <c r="E397">
        <v>8</v>
      </c>
      <c r="F397">
        <v>1</v>
      </c>
      <c r="G397">
        <v>259.11</v>
      </c>
      <c r="H397" s="8">
        <v>0</v>
      </c>
      <c r="I397" s="8">
        <v>259.11</v>
      </c>
    </row>
    <row r="398" spans="1:9" x14ac:dyDescent="0.25">
      <c r="A398">
        <v>397</v>
      </c>
      <c r="B398" t="s">
        <v>336</v>
      </c>
      <c r="C398">
        <v>6</v>
      </c>
      <c r="D398">
        <v>127</v>
      </c>
      <c r="E398">
        <v>4</v>
      </c>
      <c r="F398">
        <v>1</v>
      </c>
      <c r="G398">
        <v>168</v>
      </c>
      <c r="H398" s="8">
        <v>0.1</v>
      </c>
      <c r="I398" s="8">
        <v>151.19999999999999</v>
      </c>
    </row>
    <row r="399" spans="1:9" x14ac:dyDescent="0.25">
      <c r="A399">
        <v>398</v>
      </c>
      <c r="B399" t="s">
        <v>55</v>
      </c>
      <c r="C399">
        <v>1</v>
      </c>
      <c r="D399">
        <v>19</v>
      </c>
      <c r="E399">
        <v>15</v>
      </c>
      <c r="F399">
        <v>1</v>
      </c>
      <c r="G399">
        <v>58.26</v>
      </c>
      <c r="H399" s="8">
        <v>0</v>
      </c>
      <c r="I399" s="8">
        <v>58.26</v>
      </c>
    </row>
    <row r="400" spans="1:9" x14ac:dyDescent="0.25">
      <c r="A400">
        <v>399</v>
      </c>
      <c r="B400" t="s">
        <v>337</v>
      </c>
      <c r="C400">
        <v>8</v>
      </c>
      <c r="D400">
        <v>29</v>
      </c>
      <c r="E400">
        <v>10</v>
      </c>
      <c r="F400">
        <v>1</v>
      </c>
      <c r="G400">
        <v>168.82</v>
      </c>
      <c r="H400" s="8">
        <v>0.1</v>
      </c>
      <c r="I400" s="8">
        <v>151.94</v>
      </c>
    </row>
    <row r="401" spans="1:9" x14ac:dyDescent="0.25">
      <c r="A401">
        <v>400</v>
      </c>
      <c r="B401" t="s">
        <v>130</v>
      </c>
      <c r="C401">
        <v>6</v>
      </c>
      <c r="D401">
        <v>107</v>
      </c>
      <c r="E401">
        <v>29</v>
      </c>
      <c r="F401">
        <v>3</v>
      </c>
      <c r="G401">
        <v>138.6</v>
      </c>
      <c r="H401" s="8">
        <v>0.1</v>
      </c>
      <c r="I401" s="8">
        <v>374.22</v>
      </c>
    </row>
    <row r="402" spans="1:9" x14ac:dyDescent="0.25">
      <c r="A402">
        <v>401</v>
      </c>
      <c r="B402" t="s">
        <v>275</v>
      </c>
      <c r="C402">
        <v>2</v>
      </c>
      <c r="D402">
        <v>73</v>
      </c>
      <c r="E402">
        <v>21</v>
      </c>
      <c r="F402">
        <v>1</v>
      </c>
      <c r="G402">
        <v>187.71</v>
      </c>
      <c r="H402" s="8">
        <v>0</v>
      </c>
      <c r="I402" s="8">
        <v>187.71</v>
      </c>
    </row>
    <row r="403" spans="1:9" x14ac:dyDescent="0.25">
      <c r="A403">
        <v>402</v>
      </c>
      <c r="B403" t="s">
        <v>207</v>
      </c>
      <c r="C403">
        <v>6</v>
      </c>
      <c r="D403">
        <v>127</v>
      </c>
      <c r="E403">
        <v>9</v>
      </c>
      <c r="F403">
        <v>1</v>
      </c>
      <c r="G403">
        <v>152.78</v>
      </c>
      <c r="H403" s="8">
        <v>0</v>
      </c>
      <c r="I403" s="8">
        <v>152.78</v>
      </c>
    </row>
    <row r="404" spans="1:9" x14ac:dyDescent="0.25">
      <c r="A404">
        <v>403</v>
      </c>
      <c r="B404" t="s">
        <v>314</v>
      </c>
      <c r="C404">
        <v>6</v>
      </c>
      <c r="D404">
        <v>161</v>
      </c>
      <c r="E404">
        <v>5</v>
      </c>
      <c r="F404">
        <v>1</v>
      </c>
      <c r="G404">
        <v>55.26</v>
      </c>
      <c r="H404" s="8">
        <v>0.05</v>
      </c>
      <c r="I404" s="8">
        <v>52.5</v>
      </c>
    </row>
    <row r="405" spans="1:9" x14ac:dyDescent="0.25">
      <c r="A405">
        <v>404</v>
      </c>
      <c r="B405" t="s">
        <v>338</v>
      </c>
      <c r="C405">
        <v>4</v>
      </c>
      <c r="D405">
        <v>46</v>
      </c>
      <c r="E405">
        <v>15</v>
      </c>
      <c r="F405">
        <v>2</v>
      </c>
      <c r="G405">
        <v>58.26</v>
      </c>
      <c r="H405" s="8">
        <v>0</v>
      </c>
      <c r="I405" s="8">
        <v>116.52</v>
      </c>
    </row>
    <row r="406" spans="1:9" x14ac:dyDescent="0.25">
      <c r="A406">
        <v>405</v>
      </c>
      <c r="B406" t="s">
        <v>339</v>
      </c>
      <c r="C406">
        <v>1</v>
      </c>
      <c r="D406">
        <v>35</v>
      </c>
      <c r="E406">
        <v>14</v>
      </c>
      <c r="F406">
        <v>4</v>
      </c>
      <c r="G406">
        <v>70.08</v>
      </c>
      <c r="H406" s="8">
        <v>0.1</v>
      </c>
      <c r="I406" s="8">
        <v>252.29</v>
      </c>
    </row>
    <row r="407" spans="1:9" x14ac:dyDescent="0.25">
      <c r="A407">
        <v>406</v>
      </c>
      <c r="B407" t="s">
        <v>340</v>
      </c>
      <c r="C407">
        <v>8</v>
      </c>
      <c r="D407">
        <v>199</v>
      </c>
      <c r="E407">
        <v>51</v>
      </c>
      <c r="F407">
        <v>1</v>
      </c>
      <c r="G407">
        <v>302.75</v>
      </c>
      <c r="H407" s="8">
        <v>0</v>
      </c>
      <c r="I407" s="8">
        <v>302.75</v>
      </c>
    </row>
    <row r="408" spans="1:9" x14ac:dyDescent="0.25">
      <c r="A408">
        <v>407</v>
      </c>
      <c r="B408" t="s">
        <v>341</v>
      </c>
      <c r="C408">
        <v>2</v>
      </c>
      <c r="D408">
        <v>199</v>
      </c>
      <c r="E408">
        <v>8</v>
      </c>
      <c r="F408">
        <v>1</v>
      </c>
      <c r="G408">
        <v>259.11</v>
      </c>
      <c r="H408" s="8">
        <v>0.15</v>
      </c>
      <c r="I408" s="8">
        <v>220.24</v>
      </c>
    </row>
    <row r="409" spans="1:9" x14ac:dyDescent="0.25">
      <c r="A409">
        <v>408</v>
      </c>
      <c r="B409" t="s">
        <v>342</v>
      </c>
      <c r="C409">
        <v>5</v>
      </c>
      <c r="D409">
        <v>44</v>
      </c>
      <c r="E409">
        <v>73</v>
      </c>
      <c r="F409">
        <v>2</v>
      </c>
      <c r="G409">
        <v>8.39</v>
      </c>
      <c r="H409" s="8">
        <v>0.1</v>
      </c>
      <c r="I409" s="8">
        <v>15.1</v>
      </c>
    </row>
    <row r="410" spans="1:9" x14ac:dyDescent="0.25">
      <c r="A410">
        <v>409</v>
      </c>
      <c r="B410" t="s">
        <v>326</v>
      </c>
      <c r="C410">
        <v>4</v>
      </c>
      <c r="D410">
        <v>206</v>
      </c>
      <c r="E410">
        <v>40</v>
      </c>
      <c r="F410">
        <v>1</v>
      </c>
      <c r="G410">
        <v>144.41999999999999</v>
      </c>
      <c r="H410" s="8">
        <v>0</v>
      </c>
      <c r="I410" s="8">
        <v>144.41999999999999</v>
      </c>
    </row>
    <row r="411" spans="1:9" x14ac:dyDescent="0.25">
      <c r="A411">
        <v>410</v>
      </c>
      <c r="B411" t="s">
        <v>343</v>
      </c>
      <c r="C411">
        <v>8</v>
      </c>
      <c r="D411">
        <v>11</v>
      </c>
      <c r="E411">
        <v>9</v>
      </c>
      <c r="F411">
        <v>1</v>
      </c>
      <c r="G411">
        <v>152.78</v>
      </c>
      <c r="H411" s="8">
        <v>0</v>
      </c>
      <c r="I411" s="8">
        <v>152.78</v>
      </c>
    </row>
    <row r="412" spans="1:9" x14ac:dyDescent="0.25">
      <c r="A412">
        <v>411</v>
      </c>
      <c r="B412" t="s">
        <v>344</v>
      </c>
      <c r="C412">
        <v>2</v>
      </c>
      <c r="D412">
        <v>10</v>
      </c>
      <c r="E412">
        <v>82</v>
      </c>
      <c r="F412">
        <v>1</v>
      </c>
      <c r="G412">
        <v>151.85</v>
      </c>
      <c r="H412" s="8">
        <v>0</v>
      </c>
      <c r="I412" s="8">
        <v>151.85</v>
      </c>
    </row>
    <row r="413" spans="1:9" x14ac:dyDescent="0.25">
      <c r="A413">
        <v>412</v>
      </c>
      <c r="B413" t="s">
        <v>345</v>
      </c>
      <c r="C413">
        <v>2</v>
      </c>
      <c r="D413">
        <v>137</v>
      </c>
      <c r="E413">
        <v>85</v>
      </c>
      <c r="F413">
        <v>1</v>
      </c>
      <c r="G413">
        <v>83.36</v>
      </c>
      <c r="H413" s="8">
        <v>0</v>
      </c>
      <c r="I413" s="8">
        <v>83.36</v>
      </c>
    </row>
    <row r="414" spans="1:9" x14ac:dyDescent="0.25">
      <c r="A414">
        <v>413</v>
      </c>
      <c r="B414" t="s">
        <v>240</v>
      </c>
      <c r="C414">
        <v>3</v>
      </c>
      <c r="D414">
        <v>5</v>
      </c>
      <c r="E414">
        <v>14</v>
      </c>
      <c r="F414">
        <v>1</v>
      </c>
      <c r="G414">
        <v>70.08</v>
      </c>
      <c r="H414" s="8">
        <v>0.1</v>
      </c>
      <c r="I414" s="8">
        <v>63.07</v>
      </c>
    </row>
    <row r="415" spans="1:9" x14ac:dyDescent="0.25">
      <c r="A415">
        <v>414</v>
      </c>
      <c r="B415" t="s">
        <v>346</v>
      </c>
      <c r="C415">
        <v>2</v>
      </c>
      <c r="D415">
        <v>208</v>
      </c>
      <c r="E415">
        <v>31</v>
      </c>
      <c r="F415">
        <v>3</v>
      </c>
      <c r="G415">
        <v>165.45</v>
      </c>
      <c r="H415" s="8">
        <v>0.05</v>
      </c>
      <c r="I415" s="8">
        <v>471.53</v>
      </c>
    </row>
    <row r="416" spans="1:9" x14ac:dyDescent="0.25">
      <c r="A416">
        <v>415</v>
      </c>
      <c r="B416" t="s">
        <v>347</v>
      </c>
      <c r="C416">
        <v>6</v>
      </c>
      <c r="D416">
        <v>82</v>
      </c>
      <c r="E416">
        <v>43</v>
      </c>
      <c r="F416">
        <v>1</v>
      </c>
      <c r="G416">
        <v>16.04</v>
      </c>
      <c r="H416" s="8">
        <v>0.05</v>
      </c>
      <c r="I416" s="8">
        <v>15.24</v>
      </c>
    </row>
    <row r="417" spans="1:9" x14ac:dyDescent="0.25">
      <c r="A417">
        <v>416</v>
      </c>
      <c r="B417" t="s">
        <v>348</v>
      </c>
      <c r="C417">
        <v>5</v>
      </c>
      <c r="D417">
        <v>154</v>
      </c>
      <c r="E417">
        <v>39</v>
      </c>
      <c r="F417">
        <v>3</v>
      </c>
      <c r="G417">
        <v>181.34</v>
      </c>
      <c r="H417" s="8">
        <v>0</v>
      </c>
      <c r="I417" s="8">
        <v>544.02</v>
      </c>
    </row>
    <row r="418" spans="1:9" x14ac:dyDescent="0.25">
      <c r="A418">
        <v>417</v>
      </c>
      <c r="B418" t="s">
        <v>349</v>
      </c>
      <c r="C418">
        <v>3</v>
      </c>
      <c r="D418">
        <v>97</v>
      </c>
      <c r="E418">
        <v>54</v>
      </c>
      <c r="F418">
        <v>1</v>
      </c>
      <c r="G418">
        <v>245.9</v>
      </c>
      <c r="H418" s="8">
        <v>0</v>
      </c>
      <c r="I418" s="8">
        <v>245.9</v>
      </c>
    </row>
    <row r="419" spans="1:9" x14ac:dyDescent="0.25">
      <c r="A419">
        <v>418</v>
      </c>
      <c r="B419" t="s">
        <v>151</v>
      </c>
      <c r="C419">
        <v>6</v>
      </c>
      <c r="D419">
        <v>39</v>
      </c>
      <c r="E419">
        <v>78</v>
      </c>
      <c r="F419">
        <v>2</v>
      </c>
      <c r="G419">
        <v>25.66</v>
      </c>
      <c r="H419" s="8">
        <v>0</v>
      </c>
      <c r="I419" s="8">
        <v>51.32</v>
      </c>
    </row>
    <row r="420" spans="1:9" x14ac:dyDescent="0.25">
      <c r="A420">
        <v>419</v>
      </c>
      <c r="B420" t="s">
        <v>263</v>
      </c>
      <c r="C420">
        <v>4</v>
      </c>
      <c r="D420">
        <v>57</v>
      </c>
      <c r="E420">
        <v>65</v>
      </c>
      <c r="F420">
        <v>4</v>
      </c>
      <c r="G420">
        <v>71.14</v>
      </c>
      <c r="H420" s="8">
        <v>0</v>
      </c>
      <c r="I420" s="8">
        <v>284.56</v>
      </c>
    </row>
    <row r="421" spans="1:9" x14ac:dyDescent="0.25">
      <c r="A421">
        <v>420</v>
      </c>
      <c r="B421" t="s">
        <v>32</v>
      </c>
      <c r="C421">
        <v>4</v>
      </c>
      <c r="D421">
        <v>205</v>
      </c>
      <c r="E421">
        <v>62</v>
      </c>
      <c r="F421">
        <v>1</v>
      </c>
      <c r="G421">
        <v>82.81</v>
      </c>
      <c r="H421" s="8">
        <v>0</v>
      </c>
      <c r="I421" s="8">
        <v>82.81</v>
      </c>
    </row>
    <row r="422" spans="1:9" x14ac:dyDescent="0.25">
      <c r="A422">
        <v>421</v>
      </c>
      <c r="B422" t="s">
        <v>293</v>
      </c>
      <c r="C422">
        <v>4</v>
      </c>
      <c r="D422">
        <v>55</v>
      </c>
      <c r="E422">
        <v>29</v>
      </c>
      <c r="F422">
        <v>1</v>
      </c>
      <c r="G422">
        <v>138.6</v>
      </c>
      <c r="H422" s="8">
        <v>0.1</v>
      </c>
      <c r="I422" s="8">
        <v>124.74</v>
      </c>
    </row>
    <row r="423" spans="1:9" x14ac:dyDescent="0.25">
      <c r="A423">
        <v>422</v>
      </c>
      <c r="B423" t="s">
        <v>232</v>
      </c>
      <c r="C423">
        <v>1</v>
      </c>
      <c r="D423">
        <v>76</v>
      </c>
      <c r="E423">
        <v>93</v>
      </c>
      <c r="F423">
        <v>1</v>
      </c>
      <c r="G423">
        <v>239.23</v>
      </c>
      <c r="H423" s="8">
        <v>0.2</v>
      </c>
      <c r="I423" s="8">
        <v>191.38</v>
      </c>
    </row>
    <row r="424" spans="1:9" x14ac:dyDescent="0.25">
      <c r="A424">
        <v>423</v>
      </c>
      <c r="B424" t="s">
        <v>350</v>
      </c>
      <c r="C424">
        <v>6</v>
      </c>
      <c r="D424">
        <v>21</v>
      </c>
      <c r="E424">
        <v>38</v>
      </c>
      <c r="F424">
        <v>2</v>
      </c>
      <c r="G424">
        <v>35.35</v>
      </c>
      <c r="H424" s="8">
        <v>0.05</v>
      </c>
      <c r="I424" s="8">
        <v>67.17</v>
      </c>
    </row>
    <row r="425" spans="1:9" x14ac:dyDescent="0.25">
      <c r="A425">
        <v>424</v>
      </c>
      <c r="B425" t="s">
        <v>351</v>
      </c>
      <c r="C425">
        <v>3</v>
      </c>
      <c r="D425">
        <v>93</v>
      </c>
      <c r="E425">
        <v>8</v>
      </c>
      <c r="F425">
        <v>1</v>
      </c>
      <c r="G425">
        <v>259.11</v>
      </c>
      <c r="H425" s="8">
        <v>0</v>
      </c>
      <c r="I425" s="8">
        <v>259.11</v>
      </c>
    </row>
    <row r="426" spans="1:9" x14ac:dyDescent="0.25">
      <c r="A426">
        <v>425</v>
      </c>
      <c r="B426" t="s">
        <v>352</v>
      </c>
      <c r="C426">
        <v>2</v>
      </c>
      <c r="D426">
        <v>168</v>
      </c>
      <c r="E426">
        <v>48</v>
      </c>
      <c r="F426">
        <v>2</v>
      </c>
      <c r="G426">
        <v>146.85</v>
      </c>
      <c r="H426" s="8">
        <v>0.05</v>
      </c>
      <c r="I426" s="8">
        <v>279.01</v>
      </c>
    </row>
    <row r="427" spans="1:9" x14ac:dyDescent="0.25">
      <c r="A427">
        <v>426</v>
      </c>
      <c r="B427" t="s">
        <v>353</v>
      </c>
      <c r="C427">
        <v>7</v>
      </c>
      <c r="D427">
        <v>90</v>
      </c>
      <c r="E427">
        <v>55</v>
      </c>
      <c r="F427">
        <v>2</v>
      </c>
      <c r="G427">
        <v>193.33</v>
      </c>
      <c r="H427" s="8">
        <v>0</v>
      </c>
      <c r="I427" s="8">
        <v>386.66</v>
      </c>
    </row>
    <row r="428" spans="1:9" x14ac:dyDescent="0.25">
      <c r="A428">
        <v>427</v>
      </c>
      <c r="B428" t="s">
        <v>354</v>
      </c>
      <c r="C428">
        <v>7</v>
      </c>
      <c r="D428">
        <v>131</v>
      </c>
      <c r="E428">
        <v>95</v>
      </c>
      <c r="F428">
        <v>3</v>
      </c>
      <c r="G428">
        <v>201.94</v>
      </c>
      <c r="H428" s="8">
        <v>0</v>
      </c>
      <c r="I428" s="8">
        <v>605.82000000000005</v>
      </c>
    </row>
    <row r="429" spans="1:9" x14ac:dyDescent="0.25">
      <c r="A429">
        <v>428</v>
      </c>
      <c r="B429" t="s">
        <v>355</v>
      </c>
      <c r="C429">
        <v>2</v>
      </c>
      <c r="D429">
        <v>90</v>
      </c>
      <c r="E429">
        <v>35</v>
      </c>
      <c r="F429">
        <v>2</v>
      </c>
      <c r="G429">
        <v>303.48</v>
      </c>
      <c r="H429" s="8">
        <v>0</v>
      </c>
      <c r="I429" s="8">
        <v>606.96</v>
      </c>
    </row>
    <row r="430" spans="1:9" x14ac:dyDescent="0.25">
      <c r="A430">
        <v>429</v>
      </c>
      <c r="B430" t="s">
        <v>356</v>
      </c>
      <c r="C430">
        <v>6</v>
      </c>
      <c r="D430">
        <v>212</v>
      </c>
      <c r="E430">
        <v>71</v>
      </c>
      <c r="F430">
        <v>1</v>
      </c>
      <c r="G430">
        <v>225.61</v>
      </c>
      <c r="H430" s="8">
        <v>0</v>
      </c>
      <c r="I430" s="8">
        <v>225.61</v>
      </c>
    </row>
    <row r="431" spans="1:9" x14ac:dyDescent="0.25">
      <c r="A431">
        <v>430</v>
      </c>
      <c r="B431" t="s">
        <v>90</v>
      </c>
      <c r="C431">
        <v>8</v>
      </c>
      <c r="D431">
        <v>196</v>
      </c>
      <c r="E431">
        <v>29</v>
      </c>
      <c r="F431">
        <v>1</v>
      </c>
      <c r="G431">
        <v>138.6</v>
      </c>
      <c r="H431" s="8">
        <v>0.15</v>
      </c>
      <c r="I431" s="8">
        <v>117.81</v>
      </c>
    </row>
    <row r="432" spans="1:9" x14ac:dyDescent="0.25">
      <c r="A432">
        <v>431</v>
      </c>
      <c r="B432" t="s">
        <v>357</v>
      </c>
      <c r="C432">
        <v>6</v>
      </c>
      <c r="D432">
        <v>180</v>
      </c>
      <c r="E432">
        <v>86</v>
      </c>
      <c r="F432">
        <v>1</v>
      </c>
      <c r="G432">
        <v>99.19</v>
      </c>
      <c r="H432" s="8">
        <v>0</v>
      </c>
      <c r="I432" s="8">
        <v>99.19</v>
      </c>
    </row>
    <row r="433" spans="1:9" x14ac:dyDescent="0.25">
      <c r="A433">
        <v>432</v>
      </c>
      <c r="B433" t="s">
        <v>358</v>
      </c>
      <c r="C433">
        <v>3</v>
      </c>
      <c r="D433">
        <v>165</v>
      </c>
      <c r="E433">
        <v>26</v>
      </c>
      <c r="F433">
        <v>1</v>
      </c>
      <c r="G433">
        <v>211.87</v>
      </c>
      <c r="H433" s="8">
        <v>0</v>
      </c>
      <c r="I433" s="8">
        <v>211.87</v>
      </c>
    </row>
    <row r="434" spans="1:9" x14ac:dyDescent="0.25">
      <c r="A434">
        <v>433</v>
      </c>
      <c r="B434" t="s">
        <v>260</v>
      </c>
      <c r="C434">
        <v>7</v>
      </c>
      <c r="D434">
        <v>201</v>
      </c>
      <c r="E434">
        <v>49</v>
      </c>
      <c r="F434">
        <v>1</v>
      </c>
      <c r="G434">
        <v>130.58000000000001</v>
      </c>
      <c r="H434" s="8">
        <v>0.05</v>
      </c>
      <c r="I434" s="8">
        <v>124.05</v>
      </c>
    </row>
    <row r="435" spans="1:9" x14ac:dyDescent="0.25">
      <c r="A435">
        <v>434</v>
      </c>
      <c r="B435" t="s">
        <v>359</v>
      </c>
      <c r="C435">
        <v>1</v>
      </c>
      <c r="D435">
        <v>32</v>
      </c>
      <c r="E435">
        <v>60</v>
      </c>
      <c r="F435">
        <v>1</v>
      </c>
      <c r="G435">
        <v>101.29</v>
      </c>
      <c r="H435" s="8">
        <v>0.05</v>
      </c>
      <c r="I435" s="8">
        <v>96.23</v>
      </c>
    </row>
    <row r="436" spans="1:9" x14ac:dyDescent="0.25">
      <c r="A436">
        <v>435</v>
      </c>
      <c r="B436" t="s">
        <v>319</v>
      </c>
      <c r="C436">
        <v>3</v>
      </c>
      <c r="D436">
        <v>138</v>
      </c>
      <c r="E436">
        <v>66</v>
      </c>
      <c r="F436">
        <v>2</v>
      </c>
      <c r="G436">
        <v>169.57</v>
      </c>
      <c r="H436" s="8">
        <v>0</v>
      </c>
      <c r="I436" s="8">
        <v>339.14</v>
      </c>
    </row>
    <row r="437" spans="1:9" x14ac:dyDescent="0.25">
      <c r="A437">
        <v>436</v>
      </c>
      <c r="B437" t="s">
        <v>360</v>
      </c>
      <c r="C437">
        <v>3</v>
      </c>
      <c r="D437">
        <v>150</v>
      </c>
      <c r="E437">
        <v>96</v>
      </c>
      <c r="F437">
        <v>1</v>
      </c>
      <c r="G437">
        <v>132.69</v>
      </c>
      <c r="H437" s="8">
        <v>0.15</v>
      </c>
      <c r="I437" s="8">
        <v>112.79</v>
      </c>
    </row>
    <row r="438" spans="1:9" x14ac:dyDescent="0.25">
      <c r="A438">
        <v>437</v>
      </c>
      <c r="B438" t="s">
        <v>279</v>
      </c>
      <c r="C438">
        <v>6</v>
      </c>
      <c r="D438">
        <v>193</v>
      </c>
      <c r="E438">
        <v>81</v>
      </c>
      <c r="F438">
        <v>1</v>
      </c>
      <c r="G438">
        <v>225.3</v>
      </c>
      <c r="H438" s="8">
        <v>0</v>
      </c>
      <c r="I438" s="8">
        <v>225.3</v>
      </c>
    </row>
    <row r="439" spans="1:9" x14ac:dyDescent="0.25">
      <c r="A439">
        <v>438</v>
      </c>
      <c r="B439" t="s">
        <v>361</v>
      </c>
      <c r="C439">
        <v>6</v>
      </c>
      <c r="D439">
        <v>91</v>
      </c>
      <c r="E439">
        <v>80</v>
      </c>
      <c r="F439">
        <v>1</v>
      </c>
      <c r="G439">
        <v>33.380000000000003</v>
      </c>
      <c r="H439" s="8">
        <v>0</v>
      </c>
      <c r="I439" s="8">
        <v>33.380000000000003</v>
      </c>
    </row>
    <row r="440" spans="1:9" x14ac:dyDescent="0.25">
      <c r="A440">
        <v>439</v>
      </c>
      <c r="B440" t="s">
        <v>362</v>
      </c>
      <c r="C440">
        <v>2</v>
      </c>
      <c r="D440">
        <v>214</v>
      </c>
      <c r="E440">
        <v>92</v>
      </c>
      <c r="F440">
        <v>1</v>
      </c>
      <c r="G440">
        <v>223.32</v>
      </c>
      <c r="H440" s="8">
        <v>0</v>
      </c>
      <c r="I440" s="8">
        <v>223.32</v>
      </c>
    </row>
    <row r="441" spans="1:9" x14ac:dyDescent="0.25">
      <c r="A441">
        <v>440</v>
      </c>
      <c r="B441" t="s">
        <v>103</v>
      </c>
      <c r="C441">
        <v>4</v>
      </c>
      <c r="D441">
        <v>203</v>
      </c>
      <c r="E441">
        <v>79</v>
      </c>
      <c r="F441">
        <v>1</v>
      </c>
      <c r="G441">
        <v>117.59</v>
      </c>
      <c r="H441" s="8">
        <v>0.2</v>
      </c>
      <c r="I441" s="8">
        <v>94.07</v>
      </c>
    </row>
    <row r="442" spans="1:9" x14ac:dyDescent="0.25">
      <c r="A442">
        <v>441</v>
      </c>
      <c r="B442" t="s">
        <v>363</v>
      </c>
      <c r="C442">
        <v>3</v>
      </c>
      <c r="D442">
        <v>12</v>
      </c>
      <c r="E442">
        <v>82</v>
      </c>
      <c r="F442">
        <v>3</v>
      </c>
      <c r="G442">
        <v>151.85</v>
      </c>
      <c r="H442" s="8">
        <v>0.1</v>
      </c>
      <c r="I442" s="8">
        <v>409.99</v>
      </c>
    </row>
    <row r="443" spans="1:9" x14ac:dyDescent="0.25">
      <c r="A443">
        <v>442</v>
      </c>
      <c r="B443" t="s">
        <v>237</v>
      </c>
      <c r="C443">
        <v>2</v>
      </c>
      <c r="D443">
        <v>133</v>
      </c>
      <c r="E443">
        <v>55</v>
      </c>
      <c r="F443">
        <v>2</v>
      </c>
      <c r="G443">
        <v>193.33</v>
      </c>
      <c r="H443" s="8">
        <v>0</v>
      </c>
      <c r="I443" s="8">
        <v>386.66</v>
      </c>
    </row>
    <row r="444" spans="1:9" x14ac:dyDescent="0.25">
      <c r="A444">
        <v>443</v>
      </c>
      <c r="B444" t="s">
        <v>359</v>
      </c>
      <c r="C444">
        <v>3</v>
      </c>
      <c r="D444">
        <v>49</v>
      </c>
      <c r="E444">
        <v>59</v>
      </c>
      <c r="F444">
        <v>1</v>
      </c>
      <c r="G444">
        <v>17.41</v>
      </c>
      <c r="H444" s="8">
        <v>0</v>
      </c>
      <c r="I444" s="8">
        <v>17.41</v>
      </c>
    </row>
    <row r="445" spans="1:9" x14ac:dyDescent="0.25">
      <c r="A445">
        <v>444</v>
      </c>
      <c r="B445" t="s">
        <v>38</v>
      </c>
      <c r="C445">
        <v>3</v>
      </c>
      <c r="D445">
        <v>85</v>
      </c>
      <c r="E445">
        <v>54</v>
      </c>
      <c r="F445">
        <v>1</v>
      </c>
      <c r="G445">
        <v>245.9</v>
      </c>
      <c r="H445" s="8">
        <v>0.15</v>
      </c>
      <c r="I445" s="8">
        <v>209.01</v>
      </c>
    </row>
    <row r="446" spans="1:9" x14ac:dyDescent="0.25">
      <c r="A446">
        <v>445</v>
      </c>
      <c r="B446" t="s">
        <v>364</v>
      </c>
      <c r="C446">
        <v>1</v>
      </c>
      <c r="D446">
        <v>148</v>
      </c>
      <c r="E446">
        <v>51</v>
      </c>
      <c r="F446">
        <v>4</v>
      </c>
      <c r="G446">
        <v>302.75</v>
      </c>
      <c r="H446" s="8">
        <v>0</v>
      </c>
      <c r="I446" s="8">
        <v>1211</v>
      </c>
    </row>
    <row r="447" spans="1:9" x14ac:dyDescent="0.25">
      <c r="A447">
        <v>446</v>
      </c>
      <c r="B447" t="s">
        <v>365</v>
      </c>
      <c r="C447">
        <v>2</v>
      </c>
      <c r="D447">
        <v>51</v>
      </c>
      <c r="E447">
        <v>89</v>
      </c>
      <c r="F447">
        <v>1</v>
      </c>
      <c r="G447">
        <v>247.43</v>
      </c>
      <c r="H447" s="8">
        <v>0</v>
      </c>
      <c r="I447" s="8">
        <v>247.43</v>
      </c>
    </row>
    <row r="448" spans="1:9" x14ac:dyDescent="0.25">
      <c r="A448">
        <v>447</v>
      </c>
      <c r="B448" t="s">
        <v>203</v>
      </c>
      <c r="C448">
        <v>5</v>
      </c>
      <c r="D448">
        <v>203</v>
      </c>
      <c r="E448">
        <v>71</v>
      </c>
      <c r="F448">
        <v>1</v>
      </c>
      <c r="G448">
        <v>225.61</v>
      </c>
      <c r="H448" s="8">
        <v>0.2</v>
      </c>
      <c r="I448" s="8">
        <v>180.49</v>
      </c>
    </row>
    <row r="449" spans="1:9" x14ac:dyDescent="0.25">
      <c r="A449">
        <v>448</v>
      </c>
      <c r="B449" t="s">
        <v>366</v>
      </c>
      <c r="C449">
        <v>7</v>
      </c>
      <c r="D449">
        <v>144</v>
      </c>
      <c r="E449">
        <v>97</v>
      </c>
      <c r="F449">
        <v>1</v>
      </c>
      <c r="G449">
        <v>158.26</v>
      </c>
      <c r="H449" s="8">
        <v>0.1</v>
      </c>
      <c r="I449" s="8">
        <v>142.43</v>
      </c>
    </row>
    <row r="450" spans="1:9" x14ac:dyDescent="0.25">
      <c r="A450">
        <v>449</v>
      </c>
      <c r="B450" t="s">
        <v>190</v>
      </c>
      <c r="C450">
        <v>8</v>
      </c>
      <c r="D450">
        <v>135</v>
      </c>
      <c r="E450">
        <v>75</v>
      </c>
      <c r="F450">
        <v>1</v>
      </c>
      <c r="G450">
        <v>205.69</v>
      </c>
      <c r="H450" s="8">
        <v>0</v>
      </c>
      <c r="I450" s="8">
        <v>205.69</v>
      </c>
    </row>
    <row r="451" spans="1:9" x14ac:dyDescent="0.25">
      <c r="A451">
        <v>450</v>
      </c>
      <c r="B451" t="s">
        <v>367</v>
      </c>
      <c r="C451">
        <v>5</v>
      </c>
      <c r="D451">
        <v>129</v>
      </c>
      <c r="E451">
        <v>9</v>
      </c>
      <c r="F451">
        <v>1</v>
      </c>
      <c r="G451">
        <v>152.78</v>
      </c>
      <c r="H451" s="8">
        <v>0.1</v>
      </c>
      <c r="I451" s="8">
        <v>137.5</v>
      </c>
    </row>
    <row r="452" spans="1:9" x14ac:dyDescent="0.25">
      <c r="A452">
        <v>451</v>
      </c>
      <c r="B452" t="s">
        <v>94</v>
      </c>
      <c r="C452">
        <v>4</v>
      </c>
      <c r="D452">
        <v>199</v>
      </c>
      <c r="E452">
        <v>3</v>
      </c>
      <c r="F452">
        <v>1</v>
      </c>
      <c r="G452">
        <v>190.58</v>
      </c>
      <c r="H452" s="8">
        <v>0</v>
      </c>
      <c r="I452" s="8">
        <v>190.58</v>
      </c>
    </row>
    <row r="453" spans="1:9" x14ac:dyDescent="0.25">
      <c r="A453">
        <v>452</v>
      </c>
      <c r="B453" t="s">
        <v>331</v>
      </c>
      <c r="C453">
        <v>5</v>
      </c>
      <c r="D453">
        <v>180</v>
      </c>
      <c r="E453">
        <v>62</v>
      </c>
      <c r="F453">
        <v>1</v>
      </c>
      <c r="G453">
        <v>82.81</v>
      </c>
      <c r="H453" s="8">
        <v>0.05</v>
      </c>
      <c r="I453" s="8">
        <v>78.67</v>
      </c>
    </row>
    <row r="454" spans="1:9" x14ac:dyDescent="0.25">
      <c r="A454">
        <v>453</v>
      </c>
      <c r="B454" t="s">
        <v>172</v>
      </c>
      <c r="C454">
        <v>2</v>
      </c>
      <c r="D454">
        <v>81</v>
      </c>
      <c r="E454">
        <v>90</v>
      </c>
      <c r="F454">
        <v>5</v>
      </c>
      <c r="G454">
        <v>122.32</v>
      </c>
      <c r="H454" s="8">
        <v>0</v>
      </c>
      <c r="I454" s="8">
        <v>611.6</v>
      </c>
    </row>
    <row r="455" spans="1:9" x14ac:dyDescent="0.25">
      <c r="A455">
        <v>454</v>
      </c>
      <c r="B455" t="s">
        <v>368</v>
      </c>
      <c r="C455">
        <v>3</v>
      </c>
      <c r="D455">
        <v>139</v>
      </c>
      <c r="E455">
        <v>11</v>
      </c>
      <c r="F455">
        <v>1</v>
      </c>
      <c r="G455">
        <v>11.53</v>
      </c>
      <c r="H455" s="8">
        <v>0.05</v>
      </c>
      <c r="I455" s="8">
        <v>10.95</v>
      </c>
    </row>
    <row r="456" spans="1:9" x14ac:dyDescent="0.25">
      <c r="A456">
        <v>455</v>
      </c>
      <c r="B456" t="s">
        <v>235</v>
      </c>
      <c r="C456">
        <v>7</v>
      </c>
      <c r="D456">
        <v>195</v>
      </c>
      <c r="E456">
        <v>40</v>
      </c>
      <c r="F456">
        <v>1</v>
      </c>
      <c r="G456">
        <v>144.41999999999999</v>
      </c>
      <c r="H456" s="8">
        <v>0</v>
      </c>
      <c r="I456" s="8">
        <v>144.41999999999999</v>
      </c>
    </row>
    <row r="457" spans="1:9" x14ac:dyDescent="0.25">
      <c r="A457">
        <v>456</v>
      </c>
      <c r="B457" t="s">
        <v>51</v>
      </c>
      <c r="C457">
        <v>8</v>
      </c>
      <c r="D457">
        <v>14</v>
      </c>
      <c r="E457">
        <v>43</v>
      </c>
      <c r="F457">
        <v>2</v>
      </c>
      <c r="G457">
        <v>16.04</v>
      </c>
      <c r="H457" s="8">
        <v>0</v>
      </c>
      <c r="I457" s="8">
        <v>32.08</v>
      </c>
    </row>
    <row r="458" spans="1:9" x14ac:dyDescent="0.25">
      <c r="A458">
        <v>457</v>
      </c>
      <c r="B458" t="s">
        <v>369</v>
      </c>
      <c r="C458">
        <v>6</v>
      </c>
      <c r="D458">
        <v>220</v>
      </c>
      <c r="E458">
        <v>36</v>
      </c>
      <c r="F458">
        <v>1</v>
      </c>
      <c r="G458">
        <v>211.43</v>
      </c>
      <c r="H458" s="8">
        <v>0</v>
      </c>
      <c r="I458" s="8">
        <v>211.43</v>
      </c>
    </row>
    <row r="459" spans="1:9" x14ac:dyDescent="0.25">
      <c r="A459">
        <v>458</v>
      </c>
      <c r="B459" t="s">
        <v>301</v>
      </c>
      <c r="C459">
        <v>6</v>
      </c>
      <c r="D459">
        <v>83</v>
      </c>
      <c r="E459">
        <v>46</v>
      </c>
      <c r="F459">
        <v>1</v>
      </c>
      <c r="G459">
        <v>157</v>
      </c>
      <c r="H459" s="8">
        <v>0</v>
      </c>
      <c r="I459" s="8">
        <v>157</v>
      </c>
    </row>
    <row r="460" spans="1:9" x14ac:dyDescent="0.25">
      <c r="A460">
        <v>459</v>
      </c>
      <c r="B460" t="s">
        <v>370</v>
      </c>
      <c r="C460">
        <v>6</v>
      </c>
      <c r="D460">
        <v>21</v>
      </c>
      <c r="E460">
        <v>46</v>
      </c>
      <c r="F460">
        <v>1</v>
      </c>
      <c r="G460">
        <v>157</v>
      </c>
      <c r="H460" s="8">
        <v>0</v>
      </c>
      <c r="I460" s="8">
        <v>157</v>
      </c>
    </row>
    <row r="461" spans="1:9" x14ac:dyDescent="0.25">
      <c r="A461">
        <v>460</v>
      </c>
      <c r="B461" t="s">
        <v>371</v>
      </c>
      <c r="C461">
        <v>3</v>
      </c>
      <c r="D461">
        <v>97</v>
      </c>
      <c r="E461">
        <v>45</v>
      </c>
      <c r="F461">
        <v>1</v>
      </c>
      <c r="G461">
        <v>70.989999999999995</v>
      </c>
      <c r="H461" s="8">
        <v>0</v>
      </c>
      <c r="I461" s="8">
        <v>70.989999999999995</v>
      </c>
    </row>
    <row r="462" spans="1:9" x14ac:dyDescent="0.25">
      <c r="A462">
        <v>461</v>
      </c>
      <c r="B462" t="s">
        <v>372</v>
      </c>
      <c r="C462">
        <v>2</v>
      </c>
      <c r="D462">
        <v>129</v>
      </c>
      <c r="E462">
        <v>98</v>
      </c>
      <c r="F462">
        <v>2</v>
      </c>
      <c r="G462">
        <v>136.97</v>
      </c>
      <c r="H462" s="8">
        <v>0.1</v>
      </c>
      <c r="I462" s="8">
        <v>246.55</v>
      </c>
    </row>
    <row r="463" spans="1:9" x14ac:dyDescent="0.25">
      <c r="A463">
        <v>462</v>
      </c>
      <c r="B463" t="s">
        <v>370</v>
      </c>
      <c r="C463">
        <v>4</v>
      </c>
      <c r="D463">
        <v>182</v>
      </c>
      <c r="E463">
        <v>23</v>
      </c>
      <c r="F463">
        <v>1</v>
      </c>
      <c r="G463">
        <v>79.94</v>
      </c>
      <c r="H463" s="8">
        <v>0</v>
      </c>
      <c r="I463" s="8">
        <v>79.94</v>
      </c>
    </row>
    <row r="464" spans="1:9" x14ac:dyDescent="0.25">
      <c r="A464">
        <v>463</v>
      </c>
      <c r="B464" t="s">
        <v>373</v>
      </c>
      <c r="C464">
        <v>2</v>
      </c>
      <c r="D464">
        <v>65</v>
      </c>
      <c r="E464">
        <v>83</v>
      </c>
      <c r="F464">
        <v>1</v>
      </c>
      <c r="G464">
        <v>109.16</v>
      </c>
      <c r="H464" s="8">
        <v>0</v>
      </c>
      <c r="I464" s="8">
        <v>109.16</v>
      </c>
    </row>
    <row r="465" spans="1:9" x14ac:dyDescent="0.25">
      <c r="A465">
        <v>464</v>
      </c>
      <c r="B465" t="s">
        <v>374</v>
      </c>
      <c r="C465">
        <v>8</v>
      </c>
      <c r="D465">
        <v>103</v>
      </c>
      <c r="E465">
        <v>48</v>
      </c>
      <c r="F465">
        <v>1</v>
      </c>
      <c r="G465">
        <v>146.85</v>
      </c>
      <c r="H465" s="8">
        <v>0.1</v>
      </c>
      <c r="I465" s="8">
        <v>132.16</v>
      </c>
    </row>
    <row r="466" spans="1:9" x14ac:dyDescent="0.25">
      <c r="A466">
        <v>465</v>
      </c>
      <c r="B466" t="s">
        <v>375</v>
      </c>
      <c r="C466">
        <v>3</v>
      </c>
      <c r="D466">
        <v>11</v>
      </c>
      <c r="E466">
        <v>99</v>
      </c>
      <c r="F466">
        <v>1</v>
      </c>
      <c r="G466">
        <v>15.44</v>
      </c>
      <c r="H466" s="8">
        <v>0</v>
      </c>
      <c r="I466" s="8">
        <v>15.44</v>
      </c>
    </row>
    <row r="467" spans="1:9" x14ac:dyDescent="0.25">
      <c r="A467">
        <v>466</v>
      </c>
      <c r="B467" t="s">
        <v>104</v>
      </c>
      <c r="C467">
        <v>1</v>
      </c>
      <c r="D467">
        <v>155</v>
      </c>
      <c r="E467">
        <v>79</v>
      </c>
      <c r="F467">
        <v>1</v>
      </c>
      <c r="G467">
        <v>117.59</v>
      </c>
      <c r="H467" s="8">
        <v>0.05</v>
      </c>
      <c r="I467" s="8">
        <v>111.71</v>
      </c>
    </row>
    <row r="468" spans="1:9" x14ac:dyDescent="0.25">
      <c r="A468">
        <v>467</v>
      </c>
      <c r="B468" t="s">
        <v>376</v>
      </c>
      <c r="C468">
        <v>7</v>
      </c>
      <c r="D468">
        <v>1</v>
      </c>
      <c r="E468">
        <v>85</v>
      </c>
      <c r="F468">
        <v>1</v>
      </c>
      <c r="G468">
        <v>83.36</v>
      </c>
      <c r="H468" s="8">
        <v>0</v>
      </c>
      <c r="I468" s="8">
        <v>83.36</v>
      </c>
    </row>
    <row r="469" spans="1:9" x14ac:dyDescent="0.25">
      <c r="A469">
        <v>468</v>
      </c>
      <c r="B469" t="s">
        <v>377</v>
      </c>
      <c r="C469">
        <v>4</v>
      </c>
      <c r="D469">
        <v>182</v>
      </c>
      <c r="E469">
        <v>46</v>
      </c>
      <c r="F469">
        <v>1</v>
      </c>
      <c r="G469">
        <v>157</v>
      </c>
      <c r="H469" s="8">
        <v>0</v>
      </c>
      <c r="I469" s="8">
        <v>157</v>
      </c>
    </row>
    <row r="470" spans="1:9" x14ac:dyDescent="0.25">
      <c r="A470">
        <v>469</v>
      </c>
      <c r="B470" t="s">
        <v>332</v>
      </c>
      <c r="C470">
        <v>6</v>
      </c>
      <c r="D470">
        <v>134</v>
      </c>
      <c r="E470">
        <v>63</v>
      </c>
      <c r="F470">
        <v>1</v>
      </c>
      <c r="G470">
        <v>239.9</v>
      </c>
      <c r="H470" s="8">
        <v>0</v>
      </c>
      <c r="I470" s="8">
        <v>239.9</v>
      </c>
    </row>
    <row r="471" spans="1:9" x14ac:dyDescent="0.25">
      <c r="A471">
        <v>470</v>
      </c>
      <c r="B471" t="s">
        <v>174</v>
      </c>
      <c r="C471">
        <v>4</v>
      </c>
      <c r="D471">
        <v>20</v>
      </c>
      <c r="E471">
        <v>21</v>
      </c>
      <c r="F471">
        <v>2</v>
      </c>
      <c r="G471">
        <v>187.71</v>
      </c>
      <c r="H471" s="8">
        <v>0</v>
      </c>
      <c r="I471" s="8">
        <v>375.42</v>
      </c>
    </row>
    <row r="472" spans="1:9" x14ac:dyDescent="0.25">
      <c r="A472">
        <v>471</v>
      </c>
      <c r="B472" t="s">
        <v>378</v>
      </c>
      <c r="C472">
        <v>8</v>
      </c>
      <c r="D472">
        <v>92</v>
      </c>
      <c r="E472">
        <v>48</v>
      </c>
      <c r="F472">
        <v>1</v>
      </c>
      <c r="G472">
        <v>146.85</v>
      </c>
      <c r="H472" s="8">
        <v>0.05</v>
      </c>
      <c r="I472" s="8">
        <v>139.51</v>
      </c>
    </row>
    <row r="473" spans="1:9" x14ac:dyDescent="0.25">
      <c r="A473">
        <v>472</v>
      </c>
      <c r="B473" t="s">
        <v>379</v>
      </c>
      <c r="C473">
        <v>8</v>
      </c>
      <c r="D473">
        <v>25</v>
      </c>
      <c r="E473">
        <v>16</v>
      </c>
      <c r="F473">
        <v>2</v>
      </c>
      <c r="G473">
        <v>62.77</v>
      </c>
      <c r="H473" s="8">
        <v>0.05</v>
      </c>
      <c r="I473" s="8">
        <v>119.26</v>
      </c>
    </row>
    <row r="474" spans="1:9" x14ac:dyDescent="0.25">
      <c r="A474">
        <v>473</v>
      </c>
      <c r="B474" t="s">
        <v>380</v>
      </c>
      <c r="C474">
        <v>8</v>
      </c>
      <c r="D474">
        <v>96</v>
      </c>
      <c r="E474">
        <v>65</v>
      </c>
      <c r="F474">
        <v>1</v>
      </c>
      <c r="G474">
        <v>71.14</v>
      </c>
      <c r="H474" s="8">
        <v>0</v>
      </c>
      <c r="I474" s="8">
        <v>71.14</v>
      </c>
    </row>
    <row r="475" spans="1:9" x14ac:dyDescent="0.25">
      <c r="A475">
        <v>474</v>
      </c>
      <c r="B475" t="s">
        <v>381</v>
      </c>
      <c r="C475">
        <v>2</v>
      </c>
      <c r="D475">
        <v>157</v>
      </c>
      <c r="E475">
        <v>23</v>
      </c>
      <c r="F475">
        <v>1</v>
      </c>
      <c r="G475">
        <v>79.94</v>
      </c>
      <c r="H475" s="8">
        <v>0.15</v>
      </c>
      <c r="I475" s="8">
        <v>67.95</v>
      </c>
    </row>
    <row r="476" spans="1:9" x14ac:dyDescent="0.25">
      <c r="A476">
        <v>475</v>
      </c>
      <c r="B476" t="s">
        <v>382</v>
      </c>
      <c r="C476">
        <v>8</v>
      </c>
      <c r="D476">
        <v>195</v>
      </c>
      <c r="E476">
        <v>45</v>
      </c>
      <c r="F476">
        <v>1</v>
      </c>
      <c r="G476">
        <v>70.989999999999995</v>
      </c>
      <c r="H476" s="8">
        <v>0.1</v>
      </c>
      <c r="I476" s="8">
        <v>63.89</v>
      </c>
    </row>
    <row r="477" spans="1:9" x14ac:dyDescent="0.25">
      <c r="A477">
        <v>476</v>
      </c>
      <c r="B477" t="s">
        <v>84</v>
      </c>
      <c r="C477">
        <v>4</v>
      </c>
      <c r="D477">
        <v>208</v>
      </c>
      <c r="E477">
        <v>46</v>
      </c>
      <c r="F477">
        <v>1</v>
      </c>
      <c r="G477">
        <v>157</v>
      </c>
      <c r="H477" s="8">
        <v>0</v>
      </c>
      <c r="I477" s="8">
        <v>157</v>
      </c>
    </row>
    <row r="478" spans="1:9" x14ac:dyDescent="0.25">
      <c r="A478">
        <v>477</v>
      </c>
      <c r="B478" t="s">
        <v>302</v>
      </c>
      <c r="C478">
        <v>1</v>
      </c>
      <c r="D478">
        <v>78</v>
      </c>
      <c r="E478">
        <v>30</v>
      </c>
      <c r="F478">
        <v>1</v>
      </c>
      <c r="G478">
        <v>19.399999999999999</v>
      </c>
      <c r="H478" s="8">
        <v>0</v>
      </c>
      <c r="I478" s="8">
        <v>19.399999999999999</v>
      </c>
    </row>
    <row r="479" spans="1:9" x14ac:dyDescent="0.25">
      <c r="A479">
        <v>478</v>
      </c>
      <c r="B479" t="s">
        <v>383</v>
      </c>
      <c r="C479">
        <v>5</v>
      </c>
      <c r="D479">
        <v>175</v>
      </c>
      <c r="E479">
        <v>39</v>
      </c>
      <c r="F479">
        <v>1</v>
      </c>
      <c r="G479">
        <v>181.34</v>
      </c>
      <c r="H479" s="8">
        <v>0</v>
      </c>
      <c r="I479" s="8">
        <v>181.34</v>
      </c>
    </row>
    <row r="480" spans="1:9" x14ac:dyDescent="0.25">
      <c r="A480">
        <v>479</v>
      </c>
      <c r="B480" t="s">
        <v>384</v>
      </c>
      <c r="C480">
        <v>8</v>
      </c>
      <c r="D480">
        <v>76</v>
      </c>
      <c r="E480">
        <v>60</v>
      </c>
      <c r="F480">
        <v>3</v>
      </c>
      <c r="G480">
        <v>101.29</v>
      </c>
      <c r="H480" s="8">
        <v>0.2</v>
      </c>
      <c r="I480" s="8">
        <v>243.1</v>
      </c>
    </row>
    <row r="481" spans="1:9" x14ac:dyDescent="0.25">
      <c r="A481">
        <v>480</v>
      </c>
      <c r="B481" t="s">
        <v>385</v>
      </c>
      <c r="C481">
        <v>1</v>
      </c>
      <c r="D481">
        <v>138</v>
      </c>
      <c r="E481">
        <v>88</v>
      </c>
      <c r="F481">
        <v>1</v>
      </c>
      <c r="G481">
        <v>181.05</v>
      </c>
      <c r="H481" s="8">
        <v>0</v>
      </c>
      <c r="I481" s="8">
        <v>181.05</v>
      </c>
    </row>
    <row r="482" spans="1:9" x14ac:dyDescent="0.25">
      <c r="A482">
        <v>481</v>
      </c>
      <c r="B482" t="s">
        <v>386</v>
      </c>
      <c r="C482">
        <v>7</v>
      </c>
      <c r="D482">
        <v>152</v>
      </c>
      <c r="E482">
        <v>27</v>
      </c>
      <c r="F482">
        <v>2</v>
      </c>
      <c r="G482">
        <v>66.790000000000006</v>
      </c>
      <c r="H482" s="8">
        <v>0.05</v>
      </c>
      <c r="I482" s="8">
        <v>126.9</v>
      </c>
    </row>
    <row r="483" spans="1:9" x14ac:dyDescent="0.25">
      <c r="A483">
        <v>482</v>
      </c>
      <c r="B483" t="s">
        <v>387</v>
      </c>
      <c r="C483">
        <v>5</v>
      </c>
      <c r="D483">
        <v>97</v>
      </c>
      <c r="E483">
        <v>42</v>
      </c>
      <c r="F483">
        <v>1</v>
      </c>
      <c r="G483">
        <v>127.97</v>
      </c>
      <c r="H483" s="8">
        <v>0</v>
      </c>
      <c r="I483" s="8">
        <v>127.97</v>
      </c>
    </row>
    <row r="484" spans="1:9" x14ac:dyDescent="0.25">
      <c r="A484">
        <v>483</v>
      </c>
      <c r="B484" t="s">
        <v>109</v>
      </c>
      <c r="C484">
        <v>7</v>
      </c>
      <c r="D484">
        <v>186</v>
      </c>
      <c r="E484">
        <v>19</v>
      </c>
      <c r="F484">
        <v>1</v>
      </c>
      <c r="G484">
        <v>138.31</v>
      </c>
      <c r="H484" s="8">
        <v>0</v>
      </c>
      <c r="I484" s="8">
        <v>138.31</v>
      </c>
    </row>
    <row r="485" spans="1:9" x14ac:dyDescent="0.25">
      <c r="A485">
        <v>484</v>
      </c>
      <c r="B485" t="s">
        <v>109</v>
      </c>
      <c r="C485">
        <v>1</v>
      </c>
      <c r="D485">
        <v>175</v>
      </c>
      <c r="E485">
        <v>80</v>
      </c>
      <c r="F485">
        <v>1</v>
      </c>
      <c r="G485">
        <v>33.380000000000003</v>
      </c>
      <c r="H485" s="8">
        <v>0.05</v>
      </c>
      <c r="I485" s="8">
        <v>31.71</v>
      </c>
    </row>
    <row r="486" spans="1:9" x14ac:dyDescent="0.25">
      <c r="A486">
        <v>485</v>
      </c>
      <c r="B486" t="s">
        <v>20</v>
      </c>
      <c r="C486">
        <v>1</v>
      </c>
      <c r="D486">
        <v>172</v>
      </c>
      <c r="E486">
        <v>21</v>
      </c>
      <c r="F486">
        <v>1</v>
      </c>
      <c r="G486">
        <v>187.71</v>
      </c>
      <c r="H486" s="8">
        <v>0</v>
      </c>
      <c r="I486" s="8">
        <v>187.71</v>
      </c>
    </row>
    <row r="487" spans="1:9" x14ac:dyDescent="0.25">
      <c r="A487">
        <v>486</v>
      </c>
      <c r="B487" t="s">
        <v>388</v>
      </c>
      <c r="C487">
        <v>6</v>
      </c>
      <c r="D487">
        <v>83</v>
      </c>
      <c r="E487">
        <v>39</v>
      </c>
      <c r="F487">
        <v>1</v>
      </c>
      <c r="G487">
        <v>181.34</v>
      </c>
      <c r="H487" s="8">
        <v>0.15</v>
      </c>
      <c r="I487" s="8">
        <v>154.13999999999999</v>
      </c>
    </row>
    <row r="488" spans="1:9" x14ac:dyDescent="0.25">
      <c r="A488">
        <v>487</v>
      </c>
      <c r="B488" t="s">
        <v>389</v>
      </c>
      <c r="C488">
        <v>2</v>
      </c>
      <c r="D488">
        <v>35</v>
      </c>
      <c r="E488">
        <v>57</v>
      </c>
      <c r="F488">
        <v>1</v>
      </c>
      <c r="G488">
        <v>32.28</v>
      </c>
      <c r="H488" s="8">
        <v>0</v>
      </c>
      <c r="I488" s="8">
        <v>32.28</v>
      </c>
    </row>
    <row r="489" spans="1:9" x14ac:dyDescent="0.25">
      <c r="A489">
        <v>488</v>
      </c>
      <c r="B489" t="s">
        <v>257</v>
      </c>
      <c r="C489">
        <v>8</v>
      </c>
      <c r="D489">
        <v>188</v>
      </c>
      <c r="E489">
        <v>35</v>
      </c>
      <c r="F489">
        <v>1</v>
      </c>
      <c r="G489">
        <v>303.48</v>
      </c>
      <c r="H489" s="8">
        <v>0</v>
      </c>
      <c r="I489" s="8">
        <v>303.48</v>
      </c>
    </row>
    <row r="490" spans="1:9" x14ac:dyDescent="0.25">
      <c r="A490">
        <v>489</v>
      </c>
      <c r="B490" t="s">
        <v>390</v>
      </c>
      <c r="C490">
        <v>2</v>
      </c>
      <c r="D490">
        <v>133</v>
      </c>
      <c r="E490">
        <v>17</v>
      </c>
      <c r="F490">
        <v>1</v>
      </c>
      <c r="G490">
        <v>97.14</v>
      </c>
      <c r="H490" s="8">
        <v>0</v>
      </c>
      <c r="I490" s="8">
        <v>97.14</v>
      </c>
    </row>
    <row r="491" spans="1:9" x14ac:dyDescent="0.25">
      <c r="A491">
        <v>490</v>
      </c>
      <c r="B491" t="s">
        <v>391</v>
      </c>
      <c r="C491">
        <v>2</v>
      </c>
      <c r="D491">
        <v>26</v>
      </c>
      <c r="E491">
        <v>61</v>
      </c>
      <c r="F491">
        <v>1</v>
      </c>
      <c r="G491">
        <v>106.64</v>
      </c>
      <c r="H491" s="8">
        <v>0</v>
      </c>
      <c r="I491" s="8">
        <v>106.64</v>
      </c>
    </row>
    <row r="492" spans="1:9" x14ac:dyDescent="0.25">
      <c r="A492">
        <v>491</v>
      </c>
      <c r="B492" t="s">
        <v>392</v>
      </c>
      <c r="C492">
        <v>6</v>
      </c>
      <c r="D492">
        <v>5</v>
      </c>
      <c r="E492">
        <v>42</v>
      </c>
      <c r="F492">
        <v>2</v>
      </c>
      <c r="G492">
        <v>127.97</v>
      </c>
      <c r="H492" s="8">
        <v>0</v>
      </c>
      <c r="I492" s="8">
        <v>255.94</v>
      </c>
    </row>
    <row r="493" spans="1:9" x14ac:dyDescent="0.25">
      <c r="A493">
        <v>492</v>
      </c>
      <c r="B493" t="s">
        <v>320</v>
      </c>
      <c r="C493">
        <v>6</v>
      </c>
      <c r="D493">
        <v>104</v>
      </c>
      <c r="E493">
        <v>4</v>
      </c>
      <c r="F493">
        <v>2</v>
      </c>
      <c r="G493">
        <v>168</v>
      </c>
      <c r="H493" s="8">
        <v>0</v>
      </c>
      <c r="I493" s="8">
        <v>336</v>
      </c>
    </row>
    <row r="494" spans="1:9" x14ac:dyDescent="0.25">
      <c r="A494">
        <v>493</v>
      </c>
      <c r="B494" t="s">
        <v>393</v>
      </c>
      <c r="C494">
        <v>4</v>
      </c>
      <c r="D494">
        <v>167</v>
      </c>
      <c r="E494">
        <v>94</v>
      </c>
      <c r="F494">
        <v>1</v>
      </c>
      <c r="G494">
        <v>163.66</v>
      </c>
      <c r="H494" s="8">
        <v>0</v>
      </c>
      <c r="I494" s="8">
        <v>163.66</v>
      </c>
    </row>
    <row r="495" spans="1:9" x14ac:dyDescent="0.25">
      <c r="A495">
        <v>494</v>
      </c>
      <c r="B495" t="s">
        <v>394</v>
      </c>
      <c r="C495">
        <v>7</v>
      </c>
      <c r="D495">
        <v>134</v>
      </c>
      <c r="E495">
        <v>55</v>
      </c>
      <c r="F495">
        <v>1</v>
      </c>
      <c r="G495">
        <v>193.33</v>
      </c>
      <c r="H495" s="8">
        <v>0</v>
      </c>
      <c r="I495" s="8">
        <v>193.33</v>
      </c>
    </row>
    <row r="496" spans="1:9" x14ac:dyDescent="0.25">
      <c r="A496">
        <v>495</v>
      </c>
      <c r="B496" t="s">
        <v>213</v>
      </c>
      <c r="C496">
        <v>1</v>
      </c>
      <c r="D496">
        <v>188</v>
      </c>
      <c r="E496">
        <v>83</v>
      </c>
      <c r="F496">
        <v>1</v>
      </c>
      <c r="G496">
        <v>109.16</v>
      </c>
      <c r="H496" s="8">
        <v>0.05</v>
      </c>
      <c r="I496" s="8">
        <v>103.7</v>
      </c>
    </row>
    <row r="497" spans="1:9" x14ac:dyDescent="0.25">
      <c r="A497">
        <v>496</v>
      </c>
      <c r="B497" t="s">
        <v>126</v>
      </c>
      <c r="C497">
        <v>1</v>
      </c>
      <c r="D497">
        <v>23</v>
      </c>
      <c r="E497">
        <v>34</v>
      </c>
      <c r="F497">
        <v>3</v>
      </c>
      <c r="G497">
        <v>247.04</v>
      </c>
      <c r="H497" s="8">
        <v>0</v>
      </c>
      <c r="I497" s="8">
        <v>741.12</v>
      </c>
    </row>
    <row r="498" spans="1:9" x14ac:dyDescent="0.25">
      <c r="A498">
        <v>497</v>
      </c>
      <c r="B498" t="s">
        <v>395</v>
      </c>
      <c r="C498">
        <v>6</v>
      </c>
      <c r="D498">
        <v>135</v>
      </c>
      <c r="E498">
        <v>68</v>
      </c>
      <c r="F498">
        <v>1</v>
      </c>
      <c r="G498">
        <v>198.56</v>
      </c>
      <c r="H498" s="8">
        <v>0.05</v>
      </c>
      <c r="I498" s="8">
        <v>188.63</v>
      </c>
    </row>
    <row r="499" spans="1:9" x14ac:dyDescent="0.25">
      <c r="A499">
        <v>498</v>
      </c>
      <c r="B499" t="s">
        <v>396</v>
      </c>
      <c r="C499">
        <v>8</v>
      </c>
      <c r="D499">
        <v>68</v>
      </c>
      <c r="E499">
        <v>26</v>
      </c>
      <c r="F499">
        <v>1</v>
      </c>
      <c r="G499">
        <v>211.87</v>
      </c>
      <c r="H499" s="8">
        <v>0.1</v>
      </c>
      <c r="I499" s="8">
        <v>190.68</v>
      </c>
    </row>
    <row r="500" spans="1:9" x14ac:dyDescent="0.25">
      <c r="A500">
        <v>499</v>
      </c>
      <c r="B500" t="s">
        <v>397</v>
      </c>
      <c r="C500">
        <v>3</v>
      </c>
      <c r="D500">
        <v>10</v>
      </c>
      <c r="E500">
        <v>4</v>
      </c>
      <c r="F500">
        <v>1</v>
      </c>
      <c r="G500">
        <v>168</v>
      </c>
      <c r="H500" s="8">
        <v>0</v>
      </c>
      <c r="I500" s="8">
        <v>168</v>
      </c>
    </row>
    <row r="501" spans="1:9" x14ac:dyDescent="0.25">
      <c r="A501">
        <v>500</v>
      </c>
      <c r="B501" t="s">
        <v>122</v>
      </c>
      <c r="C501">
        <v>6</v>
      </c>
      <c r="D501">
        <v>128</v>
      </c>
      <c r="E501">
        <v>68</v>
      </c>
      <c r="F501">
        <v>1</v>
      </c>
      <c r="G501">
        <v>198.56</v>
      </c>
      <c r="H501" s="8">
        <v>0.05</v>
      </c>
      <c r="I501" s="8">
        <v>188.63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21"/>
  <sheetViews>
    <sheetView topLeftCell="A203" workbookViewId="0"/>
  </sheetViews>
  <sheetFormatPr defaultRowHeight="15" x14ac:dyDescent="0.25"/>
  <cols>
    <col min="1" max="1" width="13.28515625" customWidth="1"/>
    <col min="5" max="5" width="13.28515625" customWidth="1"/>
    <col min="6" max="6" width="14.5703125" customWidth="1"/>
  </cols>
  <sheetData>
    <row r="1" spans="1:6" x14ac:dyDescent="0.25">
      <c r="A1" s="1" t="s">
        <v>3</v>
      </c>
      <c r="B1" s="1" t="s">
        <v>413</v>
      </c>
      <c r="C1" s="1" t="s">
        <v>414</v>
      </c>
      <c r="D1" s="1" t="s">
        <v>415</v>
      </c>
      <c r="E1" s="1" t="s">
        <v>416</v>
      </c>
      <c r="F1" s="1" t="s">
        <v>417</v>
      </c>
    </row>
    <row r="2" spans="1:6" x14ac:dyDescent="0.25">
      <c r="A2">
        <v>1</v>
      </c>
      <c r="B2" t="s">
        <v>418</v>
      </c>
      <c r="C2" t="s">
        <v>419</v>
      </c>
      <c r="D2" t="s">
        <v>420</v>
      </c>
      <c r="E2" t="s">
        <v>163</v>
      </c>
      <c r="F2" t="s">
        <v>421</v>
      </c>
    </row>
    <row r="3" spans="1:6" x14ac:dyDescent="0.25">
      <c r="A3">
        <v>2</v>
      </c>
      <c r="B3" t="s">
        <v>422</v>
      </c>
      <c r="C3" t="s">
        <v>419</v>
      </c>
      <c r="D3" t="s">
        <v>423</v>
      </c>
      <c r="E3" t="s">
        <v>424</v>
      </c>
      <c r="F3" t="s">
        <v>425</v>
      </c>
    </row>
    <row r="4" spans="1:6" x14ac:dyDescent="0.25">
      <c r="A4">
        <v>3</v>
      </c>
      <c r="B4" t="s">
        <v>426</v>
      </c>
      <c r="C4" t="s">
        <v>427</v>
      </c>
      <c r="D4" t="s">
        <v>428</v>
      </c>
      <c r="E4" t="s">
        <v>429</v>
      </c>
      <c r="F4" t="s">
        <v>425</v>
      </c>
    </row>
    <row r="5" spans="1:6" x14ac:dyDescent="0.25">
      <c r="A5">
        <v>4</v>
      </c>
      <c r="B5" t="s">
        <v>430</v>
      </c>
      <c r="C5" t="s">
        <v>431</v>
      </c>
      <c r="D5" t="s">
        <v>423</v>
      </c>
      <c r="E5" t="s">
        <v>432</v>
      </c>
      <c r="F5" t="s">
        <v>433</v>
      </c>
    </row>
    <row r="6" spans="1:6" x14ac:dyDescent="0.25">
      <c r="A6">
        <v>5</v>
      </c>
      <c r="B6" t="s">
        <v>434</v>
      </c>
      <c r="C6" t="s">
        <v>427</v>
      </c>
      <c r="D6" t="s">
        <v>435</v>
      </c>
      <c r="E6" t="s">
        <v>410</v>
      </c>
      <c r="F6" t="s">
        <v>425</v>
      </c>
    </row>
    <row r="7" spans="1:6" x14ac:dyDescent="0.25">
      <c r="A7">
        <v>6</v>
      </c>
      <c r="B7" t="s">
        <v>436</v>
      </c>
      <c r="C7" t="s">
        <v>419</v>
      </c>
      <c r="D7" t="s">
        <v>437</v>
      </c>
      <c r="E7" t="s">
        <v>438</v>
      </c>
      <c r="F7" t="s">
        <v>425</v>
      </c>
    </row>
    <row r="8" spans="1:6" x14ac:dyDescent="0.25">
      <c r="A8">
        <v>7</v>
      </c>
      <c r="B8" t="s">
        <v>439</v>
      </c>
      <c r="C8" t="s">
        <v>427</v>
      </c>
      <c r="D8" t="s">
        <v>435</v>
      </c>
      <c r="E8" t="s">
        <v>440</v>
      </c>
      <c r="F8" t="s">
        <v>425</v>
      </c>
    </row>
    <row r="9" spans="1:6" x14ac:dyDescent="0.25">
      <c r="A9">
        <v>8</v>
      </c>
      <c r="B9" t="s">
        <v>441</v>
      </c>
      <c r="C9" t="s">
        <v>431</v>
      </c>
      <c r="D9" t="s">
        <v>428</v>
      </c>
      <c r="E9" t="s">
        <v>442</v>
      </c>
      <c r="F9" t="s">
        <v>421</v>
      </c>
    </row>
    <row r="10" spans="1:6" x14ac:dyDescent="0.25">
      <c r="A10">
        <v>9</v>
      </c>
      <c r="B10" t="s">
        <v>443</v>
      </c>
      <c r="C10" t="s">
        <v>419</v>
      </c>
      <c r="D10" t="s">
        <v>435</v>
      </c>
      <c r="E10" t="s">
        <v>407</v>
      </c>
      <c r="F10" t="s">
        <v>433</v>
      </c>
    </row>
    <row r="11" spans="1:6" x14ac:dyDescent="0.25">
      <c r="A11">
        <v>10</v>
      </c>
      <c r="B11" t="s">
        <v>444</v>
      </c>
      <c r="C11" t="s">
        <v>427</v>
      </c>
      <c r="D11" t="s">
        <v>423</v>
      </c>
      <c r="E11" t="s">
        <v>445</v>
      </c>
      <c r="F11" t="s">
        <v>446</v>
      </c>
    </row>
    <row r="12" spans="1:6" x14ac:dyDescent="0.25">
      <c r="A12">
        <v>11</v>
      </c>
      <c r="B12" t="s">
        <v>447</v>
      </c>
      <c r="C12" t="s">
        <v>419</v>
      </c>
      <c r="D12" t="s">
        <v>435</v>
      </c>
      <c r="E12" t="s">
        <v>448</v>
      </c>
      <c r="F12" t="s">
        <v>425</v>
      </c>
    </row>
    <row r="13" spans="1:6" x14ac:dyDescent="0.25">
      <c r="A13">
        <v>12</v>
      </c>
      <c r="B13" t="s">
        <v>449</v>
      </c>
      <c r="C13" t="s">
        <v>431</v>
      </c>
      <c r="D13" t="s">
        <v>423</v>
      </c>
      <c r="E13" t="s">
        <v>450</v>
      </c>
      <c r="F13" t="s">
        <v>421</v>
      </c>
    </row>
    <row r="14" spans="1:6" x14ac:dyDescent="0.25">
      <c r="A14">
        <v>13</v>
      </c>
      <c r="B14" t="s">
        <v>451</v>
      </c>
      <c r="C14" t="s">
        <v>419</v>
      </c>
      <c r="D14" t="s">
        <v>435</v>
      </c>
      <c r="E14" t="s">
        <v>401</v>
      </c>
      <c r="F14" t="s">
        <v>421</v>
      </c>
    </row>
    <row r="15" spans="1:6" x14ac:dyDescent="0.25">
      <c r="A15">
        <v>14</v>
      </c>
      <c r="B15" t="s">
        <v>452</v>
      </c>
      <c r="C15" t="s">
        <v>427</v>
      </c>
      <c r="D15" t="s">
        <v>428</v>
      </c>
      <c r="E15" t="s">
        <v>453</v>
      </c>
      <c r="F15" t="s">
        <v>446</v>
      </c>
    </row>
    <row r="16" spans="1:6" x14ac:dyDescent="0.25">
      <c r="A16">
        <v>15</v>
      </c>
      <c r="B16" t="s">
        <v>454</v>
      </c>
      <c r="C16" t="s">
        <v>427</v>
      </c>
      <c r="D16" t="s">
        <v>428</v>
      </c>
      <c r="E16" t="s">
        <v>455</v>
      </c>
      <c r="F16" t="s">
        <v>433</v>
      </c>
    </row>
    <row r="17" spans="1:6" x14ac:dyDescent="0.25">
      <c r="A17">
        <v>16</v>
      </c>
      <c r="B17" t="s">
        <v>456</v>
      </c>
      <c r="C17" t="s">
        <v>419</v>
      </c>
      <c r="D17" t="s">
        <v>420</v>
      </c>
      <c r="E17" t="s">
        <v>457</v>
      </c>
      <c r="F17" t="s">
        <v>421</v>
      </c>
    </row>
    <row r="18" spans="1:6" x14ac:dyDescent="0.25">
      <c r="A18">
        <v>17</v>
      </c>
      <c r="B18" t="s">
        <v>458</v>
      </c>
      <c r="C18" t="s">
        <v>427</v>
      </c>
      <c r="D18" t="s">
        <v>437</v>
      </c>
      <c r="E18" t="s">
        <v>459</v>
      </c>
      <c r="F18" t="s">
        <v>425</v>
      </c>
    </row>
    <row r="19" spans="1:6" x14ac:dyDescent="0.25">
      <c r="A19">
        <v>18</v>
      </c>
      <c r="B19" t="s">
        <v>460</v>
      </c>
      <c r="C19" t="s">
        <v>431</v>
      </c>
      <c r="D19" t="s">
        <v>435</v>
      </c>
      <c r="E19" t="s">
        <v>461</v>
      </c>
      <c r="F19" t="s">
        <v>425</v>
      </c>
    </row>
    <row r="20" spans="1:6" x14ac:dyDescent="0.25">
      <c r="A20">
        <v>19</v>
      </c>
      <c r="B20" t="s">
        <v>462</v>
      </c>
      <c r="C20" t="s">
        <v>419</v>
      </c>
      <c r="D20" t="s">
        <v>437</v>
      </c>
      <c r="E20" t="s">
        <v>463</v>
      </c>
      <c r="F20" t="s">
        <v>446</v>
      </c>
    </row>
    <row r="21" spans="1:6" x14ac:dyDescent="0.25">
      <c r="A21">
        <v>20</v>
      </c>
      <c r="B21" t="s">
        <v>464</v>
      </c>
      <c r="C21" t="s">
        <v>431</v>
      </c>
      <c r="D21" t="s">
        <v>428</v>
      </c>
      <c r="E21" t="s">
        <v>465</v>
      </c>
      <c r="F21" t="s">
        <v>433</v>
      </c>
    </row>
    <row r="22" spans="1:6" x14ac:dyDescent="0.25">
      <c r="A22">
        <v>21</v>
      </c>
      <c r="B22" t="s">
        <v>466</v>
      </c>
      <c r="C22" t="s">
        <v>427</v>
      </c>
      <c r="D22" t="s">
        <v>428</v>
      </c>
      <c r="E22" t="s">
        <v>116</v>
      </c>
      <c r="F22" t="s">
        <v>421</v>
      </c>
    </row>
    <row r="23" spans="1:6" x14ac:dyDescent="0.25">
      <c r="A23">
        <v>22</v>
      </c>
      <c r="B23" t="s">
        <v>467</v>
      </c>
      <c r="C23" t="s">
        <v>427</v>
      </c>
      <c r="D23" t="s">
        <v>423</v>
      </c>
      <c r="E23" t="s">
        <v>468</v>
      </c>
      <c r="F23" t="s">
        <v>421</v>
      </c>
    </row>
    <row r="24" spans="1:6" x14ac:dyDescent="0.25">
      <c r="A24">
        <v>23</v>
      </c>
      <c r="B24" t="s">
        <v>469</v>
      </c>
      <c r="C24" t="s">
        <v>419</v>
      </c>
      <c r="D24" t="s">
        <v>420</v>
      </c>
      <c r="E24" t="s">
        <v>223</v>
      </c>
      <c r="F24" t="s">
        <v>421</v>
      </c>
    </row>
    <row r="25" spans="1:6" x14ac:dyDescent="0.25">
      <c r="A25">
        <v>24</v>
      </c>
      <c r="B25" t="s">
        <v>470</v>
      </c>
      <c r="C25" t="s">
        <v>431</v>
      </c>
      <c r="D25" t="s">
        <v>420</v>
      </c>
      <c r="E25" t="s">
        <v>471</v>
      </c>
      <c r="F25" t="s">
        <v>433</v>
      </c>
    </row>
    <row r="26" spans="1:6" x14ac:dyDescent="0.25">
      <c r="A26">
        <v>25</v>
      </c>
      <c r="B26" t="s">
        <v>472</v>
      </c>
      <c r="C26" t="s">
        <v>427</v>
      </c>
      <c r="D26" t="s">
        <v>423</v>
      </c>
      <c r="E26" t="s">
        <v>473</v>
      </c>
      <c r="F26" t="s">
        <v>425</v>
      </c>
    </row>
    <row r="27" spans="1:6" x14ac:dyDescent="0.25">
      <c r="A27">
        <v>26</v>
      </c>
      <c r="B27" t="s">
        <v>474</v>
      </c>
      <c r="C27" t="s">
        <v>431</v>
      </c>
      <c r="D27" t="s">
        <v>420</v>
      </c>
      <c r="E27" t="s">
        <v>405</v>
      </c>
      <c r="F27" t="s">
        <v>421</v>
      </c>
    </row>
    <row r="28" spans="1:6" x14ac:dyDescent="0.25">
      <c r="A28">
        <v>27</v>
      </c>
      <c r="B28" t="s">
        <v>475</v>
      </c>
      <c r="C28" t="s">
        <v>431</v>
      </c>
      <c r="D28" t="s">
        <v>428</v>
      </c>
      <c r="E28" t="s">
        <v>476</v>
      </c>
      <c r="F28" t="s">
        <v>421</v>
      </c>
    </row>
    <row r="29" spans="1:6" x14ac:dyDescent="0.25">
      <c r="A29">
        <v>28</v>
      </c>
      <c r="B29" t="s">
        <v>477</v>
      </c>
      <c r="C29" t="s">
        <v>419</v>
      </c>
      <c r="D29" t="s">
        <v>435</v>
      </c>
      <c r="E29" t="s">
        <v>478</v>
      </c>
      <c r="F29" t="s">
        <v>433</v>
      </c>
    </row>
    <row r="30" spans="1:6" x14ac:dyDescent="0.25">
      <c r="A30">
        <v>29</v>
      </c>
      <c r="B30" t="s">
        <v>479</v>
      </c>
      <c r="C30" t="s">
        <v>427</v>
      </c>
      <c r="D30" t="s">
        <v>428</v>
      </c>
      <c r="E30" t="s">
        <v>480</v>
      </c>
      <c r="F30" t="s">
        <v>433</v>
      </c>
    </row>
    <row r="31" spans="1:6" x14ac:dyDescent="0.25">
      <c r="A31">
        <v>30</v>
      </c>
      <c r="B31" t="s">
        <v>481</v>
      </c>
      <c r="C31" t="s">
        <v>431</v>
      </c>
      <c r="D31" t="s">
        <v>428</v>
      </c>
      <c r="E31" t="s">
        <v>482</v>
      </c>
      <c r="F31" t="s">
        <v>421</v>
      </c>
    </row>
    <row r="32" spans="1:6" x14ac:dyDescent="0.25">
      <c r="A32">
        <v>31</v>
      </c>
      <c r="B32" t="s">
        <v>483</v>
      </c>
      <c r="C32" t="s">
        <v>431</v>
      </c>
      <c r="D32" t="s">
        <v>437</v>
      </c>
      <c r="E32" t="s">
        <v>131</v>
      </c>
      <c r="F32" t="s">
        <v>425</v>
      </c>
    </row>
    <row r="33" spans="1:6" x14ac:dyDescent="0.25">
      <c r="A33">
        <v>32</v>
      </c>
      <c r="B33" t="s">
        <v>484</v>
      </c>
      <c r="C33" t="s">
        <v>419</v>
      </c>
      <c r="D33" t="s">
        <v>437</v>
      </c>
      <c r="E33" t="s">
        <v>485</v>
      </c>
      <c r="F33" t="s">
        <v>425</v>
      </c>
    </row>
    <row r="34" spans="1:6" x14ac:dyDescent="0.25">
      <c r="A34">
        <v>33</v>
      </c>
      <c r="B34" t="s">
        <v>486</v>
      </c>
      <c r="C34" t="s">
        <v>427</v>
      </c>
      <c r="D34" t="s">
        <v>420</v>
      </c>
      <c r="E34" t="s">
        <v>487</v>
      </c>
      <c r="F34" t="s">
        <v>425</v>
      </c>
    </row>
    <row r="35" spans="1:6" x14ac:dyDescent="0.25">
      <c r="A35">
        <v>34</v>
      </c>
      <c r="B35" t="s">
        <v>488</v>
      </c>
      <c r="C35" t="s">
        <v>427</v>
      </c>
      <c r="D35" t="s">
        <v>420</v>
      </c>
      <c r="E35" t="s">
        <v>489</v>
      </c>
      <c r="F35" t="s">
        <v>421</v>
      </c>
    </row>
    <row r="36" spans="1:6" x14ac:dyDescent="0.25">
      <c r="A36">
        <v>35</v>
      </c>
      <c r="B36" t="s">
        <v>490</v>
      </c>
      <c r="C36" t="s">
        <v>419</v>
      </c>
      <c r="D36" t="s">
        <v>423</v>
      </c>
      <c r="E36" t="s">
        <v>491</v>
      </c>
      <c r="F36" t="s">
        <v>425</v>
      </c>
    </row>
    <row r="37" spans="1:6" x14ac:dyDescent="0.25">
      <c r="A37">
        <v>36</v>
      </c>
      <c r="B37" t="s">
        <v>492</v>
      </c>
      <c r="C37" t="s">
        <v>419</v>
      </c>
      <c r="D37" t="s">
        <v>420</v>
      </c>
      <c r="E37" t="s">
        <v>493</v>
      </c>
      <c r="F37" t="s">
        <v>425</v>
      </c>
    </row>
    <row r="38" spans="1:6" x14ac:dyDescent="0.25">
      <c r="A38">
        <v>37</v>
      </c>
      <c r="B38" t="s">
        <v>494</v>
      </c>
      <c r="C38" t="s">
        <v>427</v>
      </c>
      <c r="D38" t="s">
        <v>420</v>
      </c>
      <c r="E38" t="s">
        <v>495</v>
      </c>
      <c r="F38" t="s">
        <v>421</v>
      </c>
    </row>
    <row r="39" spans="1:6" x14ac:dyDescent="0.25">
      <c r="A39">
        <v>38</v>
      </c>
      <c r="B39" t="s">
        <v>496</v>
      </c>
      <c r="C39" t="s">
        <v>419</v>
      </c>
      <c r="D39" t="s">
        <v>435</v>
      </c>
      <c r="E39" t="s">
        <v>497</v>
      </c>
      <c r="F39" t="s">
        <v>425</v>
      </c>
    </row>
    <row r="40" spans="1:6" x14ac:dyDescent="0.25">
      <c r="A40">
        <v>39</v>
      </c>
      <c r="B40" t="s">
        <v>498</v>
      </c>
      <c r="C40" t="s">
        <v>419</v>
      </c>
      <c r="D40" t="s">
        <v>428</v>
      </c>
      <c r="E40" t="s">
        <v>499</v>
      </c>
      <c r="F40" t="s">
        <v>421</v>
      </c>
    </row>
    <row r="41" spans="1:6" x14ac:dyDescent="0.25">
      <c r="A41">
        <v>40</v>
      </c>
      <c r="B41" t="s">
        <v>500</v>
      </c>
      <c r="C41" t="s">
        <v>427</v>
      </c>
      <c r="D41" t="s">
        <v>435</v>
      </c>
      <c r="E41" t="s">
        <v>501</v>
      </c>
      <c r="F41" t="s">
        <v>425</v>
      </c>
    </row>
    <row r="42" spans="1:6" x14ac:dyDescent="0.25">
      <c r="A42">
        <v>41</v>
      </c>
      <c r="B42" t="s">
        <v>502</v>
      </c>
      <c r="C42" t="s">
        <v>419</v>
      </c>
      <c r="D42" t="s">
        <v>435</v>
      </c>
      <c r="E42" t="s">
        <v>503</v>
      </c>
      <c r="F42" t="s">
        <v>425</v>
      </c>
    </row>
    <row r="43" spans="1:6" x14ac:dyDescent="0.25">
      <c r="A43">
        <v>42</v>
      </c>
      <c r="B43" t="s">
        <v>504</v>
      </c>
      <c r="C43" t="s">
        <v>427</v>
      </c>
      <c r="D43" t="s">
        <v>420</v>
      </c>
      <c r="E43" t="s">
        <v>505</v>
      </c>
      <c r="F43" t="s">
        <v>421</v>
      </c>
    </row>
    <row r="44" spans="1:6" x14ac:dyDescent="0.25">
      <c r="A44">
        <v>43</v>
      </c>
      <c r="B44" t="s">
        <v>506</v>
      </c>
      <c r="C44" t="s">
        <v>431</v>
      </c>
      <c r="D44" t="s">
        <v>420</v>
      </c>
      <c r="E44" t="s">
        <v>201</v>
      </c>
      <c r="F44" t="s">
        <v>425</v>
      </c>
    </row>
    <row r="45" spans="1:6" x14ac:dyDescent="0.25">
      <c r="A45">
        <v>44</v>
      </c>
      <c r="B45" t="s">
        <v>507</v>
      </c>
      <c r="C45" t="s">
        <v>431</v>
      </c>
      <c r="D45" t="s">
        <v>423</v>
      </c>
      <c r="E45" t="s">
        <v>508</v>
      </c>
      <c r="F45" t="s">
        <v>425</v>
      </c>
    </row>
    <row r="46" spans="1:6" x14ac:dyDescent="0.25">
      <c r="A46">
        <v>45</v>
      </c>
      <c r="B46" t="s">
        <v>509</v>
      </c>
      <c r="C46" t="s">
        <v>427</v>
      </c>
      <c r="D46" t="s">
        <v>423</v>
      </c>
      <c r="E46" t="s">
        <v>510</v>
      </c>
      <c r="F46" t="s">
        <v>425</v>
      </c>
    </row>
    <row r="47" spans="1:6" x14ac:dyDescent="0.25">
      <c r="A47">
        <v>46</v>
      </c>
      <c r="B47" t="s">
        <v>511</v>
      </c>
      <c r="C47" t="s">
        <v>427</v>
      </c>
      <c r="D47" t="s">
        <v>423</v>
      </c>
      <c r="E47" t="s">
        <v>497</v>
      </c>
      <c r="F47" t="s">
        <v>433</v>
      </c>
    </row>
    <row r="48" spans="1:6" x14ac:dyDescent="0.25">
      <c r="A48">
        <v>47</v>
      </c>
      <c r="B48" t="s">
        <v>512</v>
      </c>
      <c r="C48" t="s">
        <v>427</v>
      </c>
      <c r="D48" t="s">
        <v>428</v>
      </c>
      <c r="E48" t="s">
        <v>513</v>
      </c>
      <c r="F48" t="s">
        <v>425</v>
      </c>
    </row>
    <row r="49" spans="1:6" x14ac:dyDescent="0.25">
      <c r="A49">
        <v>48</v>
      </c>
      <c r="B49" t="s">
        <v>514</v>
      </c>
      <c r="C49" t="s">
        <v>419</v>
      </c>
      <c r="D49" t="s">
        <v>420</v>
      </c>
      <c r="E49" t="s">
        <v>515</v>
      </c>
      <c r="F49" t="s">
        <v>446</v>
      </c>
    </row>
    <row r="50" spans="1:6" x14ac:dyDescent="0.25">
      <c r="A50">
        <v>49</v>
      </c>
      <c r="B50" t="s">
        <v>516</v>
      </c>
      <c r="C50" t="s">
        <v>431</v>
      </c>
      <c r="D50" t="s">
        <v>423</v>
      </c>
      <c r="E50" t="s">
        <v>402</v>
      </c>
      <c r="F50" t="s">
        <v>425</v>
      </c>
    </row>
    <row r="51" spans="1:6" x14ac:dyDescent="0.25">
      <c r="A51">
        <v>50</v>
      </c>
      <c r="B51" t="s">
        <v>517</v>
      </c>
      <c r="C51" t="s">
        <v>431</v>
      </c>
      <c r="D51" t="s">
        <v>435</v>
      </c>
      <c r="E51" t="s">
        <v>518</v>
      </c>
      <c r="F51" t="s">
        <v>433</v>
      </c>
    </row>
    <row r="52" spans="1:6" x14ac:dyDescent="0.25">
      <c r="A52">
        <v>51</v>
      </c>
      <c r="B52" t="s">
        <v>519</v>
      </c>
      <c r="C52" t="s">
        <v>427</v>
      </c>
      <c r="D52" t="s">
        <v>420</v>
      </c>
      <c r="E52" t="s">
        <v>520</v>
      </c>
      <c r="F52" t="s">
        <v>446</v>
      </c>
    </row>
    <row r="53" spans="1:6" x14ac:dyDescent="0.25">
      <c r="A53">
        <v>52</v>
      </c>
      <c r="B53" t="s">
        <v>521</v>
      </c>
      <c r="C53" t="s">
        <v>427</v>
      </c>
      <c r="D53" t="s">
        <v>437</v>
      </c>
      <c r="E53" t="s">
        <v>522</v>
      </c>
      <c r="F53" t="s">
        <v>425</v>
      </c>
    </row>
    <row r="54" spans="1:6" x14ac:dyDescent="0.25">
      <c r="A54">
        <v>53</v>
      </c>
      <c r="B54" t="s">
        <v>523</v>
      </c>
      <c r="C54" t="s">
        <v>419</v>
      </c>
      <c r="D54" t="s">
        <v>435</v>
      </c>
      <c r="E54" t="s">
        <v>411</v>
      </c>
      <c r="F54" t="s">
        <v>425</v>
      </c>
    </row>
    <row r="55" spans="1:6" x14ac:dyDescent="0.25">
      <c r="A55">
        <v>54</v>
      </c>
      <c r="B55" t="s">
        <v>524</v>
      </c>
      <c r="C55" t="s">
        <v>431</v>
      </c>
      <c r="D55" t="s">
        <v>420</v>
      </c>
      <c r="E55" t="s">
        <v>525</v>
      </c>
      <c r="F55" t="s">
        <v>421</v>
      </c>
    </row>
    <row r="56" spans="1:6" x14ac:dyDescent="0.25">
      <c r="A56">
        <v>55</v>
      </c>
      <c r="B56" t="s">
        <v>526</v>
      </c>
      <c r="C56" t="s">
        <v>431</v>
      </c>
      <c r="D56" t="s">
        <v>437</v>
      </c>
      <c r="E56" t="s">
        <v>527</v>
      </c>
      <c r="F56" t="s">
        <v>425</v>
      </c>
    </row>
    <row r="57" spans="1:6" x14ac:dyDescent="0.25">
      <c r="A57">
        <v>56</v>
      </c>
      <c r="B57" t="s">
        <v>528</v>
      </c>
      <c r="C57" t="s">
        <v>427</v>
      </c>
      <c r="D57" t="s">
        <v>428</v>
      </c>
      <c r="E57" t="s">
        <v>529</v>
      </c>
      <c r="F57" t="s">
        <v>433</v>
      </c>
    </row>
    <row r="58" spans="1:6" x14ac:dyDescent="0.25">
      <c r="A58">
        <v>57</v>
      </c>
      <c r="B58" t="s">
        <v>530</v>
      </c>
      <c r="C58" t="s">
        <v>431</v>
      </c>
      <c r="D58" t="s">
        <v>420</v>
      </c>
      <c r="E58" t="s">
        <v>531</v>
      </c>
      <c r="F58" t="s">
        <v>446</v>
      </c>
    </row>
    <row r="59" spans="1:6" x14ac:dyDescent="0.25">
      <c r="A59">
        <v>58</v>
      </c>
      <c r="B59" t="s">
        <v>532</v>
      </c>
      <c r="C59" t="s">
        <v>431</v>
      </c>
      <c r="D59" t="s">
        <v>420</v>
      </c>
      <c r="E59" t="s">
        <v>533</v>
      </c>
      <c r="F59" t="s">
        <v>421</v>
      </c>
    </row>
    <row r="60" spans="1:6" x14ac:dyDescent="0.25">
      <c r="A60">
        <v>59</v>
      </c>
      <c r="B60" t="s">
        <v>534</v>
      </c>
      <c r="C60" t="s">
        <v>431</v>
      </c>
      <c r="D60" t="s">
        <v>435</v>
      </c>
      <c r="E60" t="s">
        <v>409</v>
      </c>
      <c r="F60" t="s">
        <v>425</v>
      </c>
    </row>
    <row r="61" spans="1:6" x14ac:dyDescent="0.25">
      <c r="A61">
        <v>60</v>
      </c>
      <c r="B61" t="s">
        <v>535</v>
      </c>
      <c r="C61" t="s">
        <v>431</v>
      </c>
      <c r="D61" t="s">
        <v>428</v>
      </c>
      <c r="E61" t="s">
        <v>536</v>
      </c>
      <c r="F61" t="s">
        <v>421</v>
      </c>
    </row>
    <row r="62" spans="1:6" x14ac:dyDescent="0.25">
      <c r="A62">
        <v>61</v>
      </c>
      <c r="B62" t="s">
        <v>537</v>
      </c>
      <c r="C62" t="s">
        <v>431</v>
      </c>
      <c r="D62" t="s">
        <v>435</v>
      </c>
      <c r="E62" t="s">
        <v>249</v>
      </c>
      <c r="F62" t="s">
        <v>421</v>
      </c>
    </row>
    <row r="63" spans="1:6" x14ac:dyDescent="0.25">
      <c r="A63">
        <v>62</v>
      </c>
      <c r="B63" t="s">
        <v>538</v>
      </c>
      <c r="C63" t="s">
        <v>419</v>
      </c>
      <c r="D63" t="s">
        <v>437</v>
      </c>
      <c r="E63" t="s">
        <v>539</v>
      </c>
      <c r="F63" t="s">
        <v>433</v>
      </c>
    </row>
    <row r="64" spans="1:6" x14ac:dyDescent="0.25">
      <c r="A64">
        <v>63</v>
      </c>
      <c r="B64" t="s">
        <v>540</v>
      </c>
      <c r="C64" t="s">
        <v>419</v>
      </c>
      <c r="D64" t="s">
        <v>437</v>
      </c>
      <c r="E64" t="s">
        <v>541</v>
      </c>
      <c r="F64" t="s">
        <v>425</v>
      </c>
    </row>
    <row r="65" spans="1:6" x14ac:dyDescent="0.25">
      <c r="A65">
        <v>64</v>
      </c>
      <c r="B65" t="s">
        <v>542</v>
      </c>
      <c r="C65" t="s">
        <v>431</v>
      </c>
      <c r="D65" t="s">
        <v>437</v>
      </c>
      <c r="E65" t="s">
        <v>543</v>
      </c>
      <c r="F65" t="s">
        <v>425</v>
      </c>
    </row>
    <row r="66" spans="1:6" x14ac:dyDescent="0.25">
      <c r="A66">
        <v>65</v>
      </c>
      <c r="B66" t="s">
        <v>544</v>
      </c>
      <c r="C66" t="s">
        <v>431</v>
      </c>
      <c r="D66" t="s">
        <v>420</v>
      </c>
      <c r="E66" t="s">
        <v>545</v>
      </c>
      <c r="F66" t="s">
        <v>425</v>
      </c>
    </row>
    <row r="67" spans="1:6" x14ac:dyDescent="0.25">
      <c r="A67">
        <v>66</v>
      </c>
      <c r="B67" t="s">
        <v>546</v>
      </c>
      <c r="C67" t="s">
        <v>431</v>
      </c>
      <c r="D67" t="s">
        <v>420</v>
      </c>
      <c r="E67" t="s">
        <v>547</v>
      </c>
      <c r="F67" t="s">
        <v>421</v>
      </c>
    </row>
    <row r="68" spans="1:6" x14ac:dyDescent="0.25">
      <c r="A68">
        <v>67</v>
      </c>
      <c r="B68" t="s">
        <v>548</v>
      </c>
      <c r="C68" t="s">
        <v>427</v>
      </c>
      <c r="D68" t="s">
        <v>423</v>
      </c>
      <c r="E68" t="s">
        <v>549</v>
      </c>
      <c r="F68" t="s">
        <v>433</v>
      </c>
    </row>
    <row r="69" spans="1:6" x14ac:dyDescent="0.25">
      <c r="A69">
        <v>68</v>
      </c>
      <c r="B69" t="s">
        <v>550</v>
      </c>
      <c r="C69" t="s">
        <v>431</v>
      </c>
      <c r="D69" t="s">
        <v>437</v>
      </c>
      <c r="E69" t="s">
        <v>551</v>
      </c>
      <c r="F69" t="s">
        <v>425</v>
      </c>
    </row>
    <row r="70" spans="1:6" x14ac:dyDescent="0.25">
      <c r="A70">
        <v>69</v>
      </c>
      <c r="B70" t="s">
        <v>552</v>
      </c>
      <c r="C70" t="s">
        <v>419</v>
      </c>
      <c r="D70" t="s">
        <v>437</v>
      </c>
      <c r="E70" t="s">
        <v>553</v>
      </c>
      <c r="F70" t="s">
        <v>421</v>
      </c>
    </row>
    <row r="71" spans="1:6" x14ac:dyDescent="0.25">
      <c r="A71">
        <v>70</v>
      </c>
      <c r="B71" t="s">
        <v>554</v>
      </c>
      <c r="C71" t="s">
        <v>419</v>
      </c>
      <c r="D71" t="s">
        <v>428</v>
      </c>
      <c r="E71" t="s">
        <v>555</v>
      </c>
      <c r="F71" t="s">
        <v>425</v>
      </c>
    </row>
    <row r="72" spans="1:6" x14ac:dyDescent="0.25">
      <c r="A72">
        <v>71</v>
      </c>
      <c r="B72" t="s">
        <v>556</v>
      </c>
      <c r="C72" t="s">
        <v>419</v>
      </c>
      <c r="D72" t="s">
        <v>437</v>
      </c>
      <c r="E72" t="s">
        <v>557</v>
      </c>
      <c r="F72" t="s">
        <v>433</v>
      </c>
    </row>
    <row r="73" spans="1:6" x14ac:dyDescent="0.25">
      <c r="A73">
        <v>72</v>
      </c>
      <c r="B73" t="s">
        <v>558</v>
      </c>
      <c r="C73" t="s">
        <v>431</v>
      </c>
      <c r="D73" t="s">
        <v>437</v>
      </c>
      <c r="E73" t="s">
        <v>559</v>
      </c>
      <c r="F73" t="s">
        <v>425</v>
      </c>
    </row>
    <row r="74" spans="1:6" x14ac:dyDescent="0.25">
      <c r="A74">
        <v>73</v>
      </c>
      <c r="B74" t="s">
        <v>560</v>
      </c>
      <c r="C74" t="s">
        <v>419</v>
      </c>
      <c r="D74" t="s">
        <v>428</v>
      </c>
      <c r="E74" t="s">
        <v>561</v>
      </c>
      <c r="F74" t="s">
        <v>425</v>
      </c>
    </row>
    <row r="75" spans="1:6" x14ac:dyDescent="0.25">
      <c r="A75">
        <v>74</v>
      </c>
      <c r="B75" t="s">
        <v>562</v>
      </c>
      <c r="C75" t="s">
        <v>419</v>
      </c>
      <c r="D75" t="s">
        <v>423</v>
      </c>
      <c r="E75" t="s">
        <v>563</v>
      </c>
      <c r="F75" t="s">
        <v>421</v>
      </c>
    </row>
    <row r="76" spans="1:6" x14ac:dyDescent="0.25">
      <c r="A76">
        <v>75</v>
      </c>
      <c r="B76" t="s">
        <v>564</v>
      </c>
      <c r="C76" t="s">
        <v>419</v>
      </c>
      <c r="D76" t="s">
        <v>437</v>
      </c>
      <c r="E76" t="s">
        <v>565</v>
      </c>
      <c r="F76" t="s">
        <v>421</v>
      </c>
    </row>
    <row r="77" spans="1:6" x14ac:dyDescent="0.25">
      <c r="A77">
        <v>76</v>
      </c>
      <c r="B77" t="s">
        <v>566</v>
      </c>
      <c r="C77" t="s">
        <v>431</v>
      </c>
      <c r="D77" t="s">
        <v>420</v>
      </c>
      <c r="E77" t="s">
        <v>567</v>
      </c>
      <c r="F77" t="s">
        <v>421</v>
      </c>
    </row>
    <row r="78" spans="1:6" x14ac:dyDescent="0.25">
      <c r="A78">
        <v>77</v>
      </c>
      <c r="B78" t="s">
        <v>568</v>
      </c>
      <c r="C78" t="s">
        <v>427</v>
      </c>
      <c r="D78" t="s">
        <v>420</v>
      </c>
      <c r="E78" t="s">
        <v>569</v>
      </c>
      <c r="F78" t="s">
        <v>425</v>
      </c>
    </row>
    <row r="79" spans="1:6" x14ac:dyDescent="0.25">
      <c r="A79">
        <v>78</v>
      </c>
      <c r="B79" t="s">
        <v>570</v>
      </c>
      <c r="C79" t="s">
        <v>431</v>
      </c>
      <c r="D79" t="s">
        <v>437</v>
      </c>
      <c r="E79" t="s">
        <v>571</v>
      </c>
      <c r="F79" t="s">
        <v>425</v>
      </c>
    </row>
    <row r="80" spans="1:6" x14ac:dyDescent="0.25">
      <c r="A80">
        <v>79</v>
      </c>
      <c r="B80" t="s">
        <v>572</v>
      </c>
      <c r="C80" t="s">
        <v>419</v>
      </c>
      <c r="D80" t="s">
        <v>435</v>
      </c>
      <c r="E80" t="s">
        <v>573</v>
      </c>
      <c r="F80" t="s">
        <v>421</v>
      </c>
    </row>
    <row r="81" spans="1:6" x14ac:dyDescent="0.25">
      <c r="A81">
        <v>80</v>
      </c>
      <c r="B81" t="s">
        <v>574</v>
      </c>
      <c r="C81" t="s">
        <v>431</v>
      </c>
      <c r="D81" t="s">
        <v>423</v>
      </c>
      <c r="E81" t="s">
        <v>575</v>
      </c>
      <c r="F81" t="s">
        <v>421</v>
      </c>
    </row>
    <row r="82" spans="1:6" x14ac:dyDescent="0.25">
      <c r="A82">
        <v>81</v>
      </c>
      <c r="B82" t="s">
        <v>576</v>
      </c>
      <c r="C82" t="s">
        <v>427</v>
      </c>
      <c r="D82" t="s">
        <v>428</v>
      </c>
      <c r="E82" t="s">
        <v>398</v>
      </c>
      <c r="F82" t="s">
        <v>421</v>
      </c>
    </row>
    <row r="83" spans="1:6" x14ac:dyDescent="0.25">
      <c r="A83">
        <v>82</v>
      </c>
      <c r="B83" t="s">
        <v>577</v>
      </c>
      <c r="C83" t="s">
        <v>431</v>
      </c>
      <c r="D83" t="s">
        <v>420</v>
      </c>
      <c r="E83" t="s">
        <v>578</v>
      </c>
      <c r="F83" t="s">
        <v>425</v>
      </c>
    </row>
    <row r="84" spans="1:6" x14ac:dyDescent="0.25">
      <c r="A84">
        <v>83</v>
      </c>
      <c r="B84" t="s">
        <v>579</v>
      </c>
      <c r="C84" t="s">
        <v>431</v>
      </c>
      <c r="D84" t="s">
        <v>437</v>
      </c>
      <c r="E84" t="s">
        <v>580</v>
      </c>
      <c r="F84" t="s">
        <v>425</v>
      </c>
    </row>
    <row r="85" spans="1:6" x14ac:dyDescent="0.25">
      <c r="A85">
        <v>84</v>
      </c>
      <c r="B85" t="s">
        <v>581</v>
      </c>
      <c r="C85" t="s">
        <v>419</v>
      </c>
      <c r="D85" t="s">
        <v>420</v>
      </c>
      <c r="E85" t="s">
        <v>582</v>
      </c>
      <c r="F85" t="s">
        <v>425</v>
      </c>
    </row>
    <row r="86" spans="1:6" x14ac:dyDescent="0.25">
      <c r="A86">
        <v>85</v>
      </c>
      <c r="B86" t="s">
        <v>583</v>
      </c>
      <c r="C86" t="s">
        <v>427</v>
      </c>
      <c r="D86" t="s">
        <v>428</v>
      </c>
      <c r="E86" t="s">
        <v>584</v>
      </c>
      <c r="F86" t="s">
        <v>421</v>
      </c>
    </row>
    <row r="87" spans="1:6" x14ac:dyDescent="0.25">
      <c r="A87">
        <v>86</v>
      </c>
      <c r="B87" t="s">
        <v>585</v>
      </c>
      <c r="C87" t="s">
        <v>431</v>
      </c>
      <c r="D87" t="s">
        <v>423</v>
      </c>
      <c r="E87" t="s">
        <v>586</v>
      </c>
      <c r="F87" t="s">
        <v>433</v>
      </c>
    </row>
    <row r="88" spans="1:6" x14ac:dyDescent="0.25">
      <c r="A88">
        <v>87</v>
      </c>
      <c r="B88" t="s">
        <v>587</v>
      </c>
      <c r="C88" t="s">
        <v>431</v>
      </c>
      <c r="D88" t="s">
        <v>437</v>
      </c>
      <c r="E88" t="s">
        <v>588</v>
      </c>
      <c r="F88" t="s">
        <v>421</v>
      </c>
    </row>
    <row r="89" spans="1:6" x14ac:dyDescent="0.25">
      <c r="A89">
        <v>88</v>
      </c>
      <c r="B89" t="s">
        <v>589</v>
      </c>
      <c r="C89" t="s">
        <v>419</v>
      </c>
      <c r="D89" t="s">
        <v>423</v>
      </c>
      <c r="E89" t="s">
        <v>590</v>
      </c>
      <c r="F89" t="s">
        <v>425</v>
      </c>
    </row>
    <row r="90" spans="1:6" x14ac:dyDescent="0.25">
      <c r="A90">
        <v>89</v>
      </c>
      <c r="B90" t="s">
        <v>591</v>
      </c>
      <c r="C90" t="s">
        <v>419</v>
      </c>
      <c r="D90" t="s">
        <v>420</v>
      </c>
      <c r="E90" t="s">
        <v>258</v>
      </c>
      <c r="F90" t="s">
        <v>425</v>
      </c>
    </row>
    <row r="91" spans="1:6" x14ac:dyDescent="0.25">
      <c r="A91">
        <v>90</v>
      </c>
      <c r="B91" t="s">
        <v>592</v>
      </c>
      <c r="C91" t="s">
        <v>427</v>
      </c>
      <c r="D91" t="s">
        <v>423</v>
      </c>
      <c r="E91" t="s">
        <v>593</v>
      </c>
      <c r="F91" t="s">
        <v>425</v>
      </c>
    </row>
    <row r="92" spans="1:6" x14ac:dyDescent="0.25">
      <c r="A92">
        <v>91</v>
      </c>
      <c r="B92" t="s">
        <v>594</v>
      </c>
      <c r="C92" t="s">
        <v>427</v>
      </c>
      <c r="D92" t="s">
        <v>437</v>
      </c>
      <c r="E92" t="s">
        <v>595</v>
      </c>
      <c r="F92" t="s">
        <v>433</v>
      </c>
    </row>
    <row r="93" spans="1:6" x14ac:dyDescent="0.25">
      <c r="A93">
        <v>92</v>
      </c>
      <c r="B93" t="s">
        <v>596</v>
      </c>
      <c r="C93" t="s">
        <v>431</v>
      </c>
      <c r="D93" t="s">
        <v>420</v>
      </c>
      <c r="E93" t="s">
        <v>597</v>
      </c>
      <c r="F93" t="s">
        <v>421</v>
      </c>
    </row>
    <row r="94" spans="1:6" x14ac:dyDescent="0.25">
      <c r="A94">
        <v>93</v>
      </c>
      <c r="B94" t="s">
        <v>598</v>
      </c>
      <c r="C94" t="s">
        <v>427</v>
      </c>
      <c r="D94" t="s">
        <v>437</v>
      </c>
      <c r="E94" t="s">
        <v>599</v>
      </c>
      <c r="F94" t="s">
        <v>433</v>
      </c>
    </row>
    <row r="95" spans="1:6" x14ac:dyDescent="0.25">
      <c r="A95">
        <v>94</v>
      </c>
      <c r="B95" t="s">
        <v>600</v>
      </c>
      <c r="C95" t="s">
        <v>427</v>
      </c>
      <c r="D95" t="s">
        <v>437</v>
      </c>
      <c r="E95" t="s">
        <v>601</v>
      </c>
      <c r="F95" t="s">
        <v>421</v>
      </c>
    </row>
    <row r="96" spans="1:6" x14ac:dyDescent="0.25">
      <c r="A96">
        <v>95</v>
      </c>
      <c r="B96" t="s">
        <v>602</v>
      </c>
      <c r="C96" t="s">
        <v>419</v>
      </c>
      <c r="D96" t="s">
        <v>428</v>
      </c>
      <c r="E96" t="s">
        <v>603</v>
      </c>
      <c r="F96" t="s">
        <v>425</v>
      </c>
    </row>
    <row r="97" spans="1:6" x14ac:dyDescent="0.25">
      <c r="A97">
        <v>96</v>
      </c>
      <c r="B97" t="s">
        <v>604</v>
      </c>
      <c r="C97" t="s">
        <v>431</v>
      </c>
      <c r="D97" t="s">
        <v>437</v>
      </c>
      <c r="E97" t="s">
        <v>605</v>
      </c>
      <c r="F97" t="s">
        <v>425</v>
      </c>
    </row>
    <row r="98" spans="1:6" x14ac:dyDescent="0.25">
      <c r="A98">
        <v>97</v>
      </c>
      <c r="B98" t="s">
        <v>606</v>
      </c>
      <c r="C98" t="s">
        <v>431</v>
      </c>
      <c r="D98" t="s">
        <v>420</v>
      </c>
      <c r="E98" t="s">
        <v>522</v>
      </c>
      <c r="F98" t="s">
        <v>421</v>
      </c>
    </row>
    <row r="99" spans="1:6" x14ac:dyDescent="0.25">
      <c r="A99">
        <v>98</v>
      </c>
      <c r="B99" t="s">
        <v>607</v>
      </c>
      <c r="C99" t="s">
        <v>419</v>
      </c>
      <c r="D99" t="s">
        <v>437</v>
      </c>
      <c r="E99" t="s">
        <v>608</v>
      </c>
      <c r="F99" t="s">
        <v>425</v>
      </c>
    </row>
    <row r="100" spans="1:6" x14ac:dyDescent="0.25">
      <c r="A100">
        <v>99</v>
      </c>
      <c r="B100" t="s">
        <v>609</v>
      </c>
      <c r="C100" t="s">
        <v>431</v>
      </c>
      <c r="D100" t="s">
        <v>435</v>
      </c>
      <c r="E100" t="s">
        <v>610</v>
      </c>
      <c r="F100" t="s">
        <v>433</v>
      </c>
    </row>
    <row r="101" spans="1:6" x14ac:dyDescent="0.25">
      <c r="A101">
        <v>100</v>
      </c>
      <c r="B101" t="s">
        <v>611</v>
      </c>
      <c r="C101" t="s">
        <v>427</v>
      </c>
      <c r="D101" t="s">
        <v>420</v>
      </c>
      <c r="E101" t="s">
        <v>612</v>
      </c>
      <c r="F101" t="s">
        <v>421</v>
      </c>
    </row>
    <row r="102" spans="1:6" x14ac:dyDescent="0.25">
      <c r="A102">
        <v>101</v>
      </c>
      <c r="B102" t="s">
        <v>613</v>
      </c>
      <c r="C102" t="s">
        <v>419</v>
      </c>
      <c r="D102" t="s">
        <v>428</v>
      </c>
      <c r="E102" t="s">
        <v>614</v>
      </c>
      <c r="F102" t="s">
        <v>421</v>
      </c>
    </row>
    <row r="103" spans="1:6" x14ac:dyDescent="0.25">
      <c r="A103">
        <v>102</v>
      </c>
      <c r="B103" t="s">
        <v>615</v>
      </c>
      <c r="C103" t="s">
        <v>419</v>
      </c>
      <c r="D103" t="s">
        <v>423</v>
      </c>
      <c r="E103" t="s">
        <v>616</v>
      </c>
      <c r="F103" t="s">
        <v>425</v>
      </c>
    </row>
    <row r="104" spans="1:6" x14ac:dyDescent="0.25">
      <c r="A104">
        <v>103</v>
      </c>
      <c r="B104" t="s">
        <v>617</v>
      </c>
      <c r="C104" t="s">
        <v>419</v>
      </c>
      <c r="D104" t="s">
        <v>437</v>
      </c>
      <c r="E104" t="s">
        <v>618</v>
      </c>
      <c r="F104" t="s">
        <v>421</v>
      </c>
    </row>
    <row r="105" spans="1:6" x14ac:dyDescent="0.25">
      <c r="A105">
        <v>104</v>
      </c>
      <c r="B105" t="s">
        <v>619</v>
      </c>
      <c r="C105" t="s">
        <v>431</v>
      </c>
      <c r="D105" t="s">
        <v>437</v>
      </c>
      <c r="E105" t="s">
        <v>358</v>
      </c>
      <c r="F105" t="s">
        <v>421</v>
      </c>
    </row>
    <row r="106" spans="1:6" x14ac:dyDescent="0.25">
      <c r="A106">
        <v>105</v>
      </c>
      <c r="B106" t="s">
        <v>620</v>
      </c>
      <c r="C106" t="s">
        <v>427</v>
      </c>
      <c r="D106" t="s">
        <v>437</v>
      </c>
      <c r="E106" t="s">
        <v>107</v>
      </c>
      <c r="F106" t="s">
        <v>425</v>
      </c>
    </row>
    <row r="107" spans="1:6" x14ac:dyDescent="0.25">
      <c r="A107">
        <v>106</v>
      </c>
      <c r="B107" t="s">
        <v>621</v>
      </c>
      <c r="C107" t="s">
        <v>419</v>
      </c>
      <c r="D107" t="s">
        <v>423</v>
      </c>
      <c r="E107" t="s">
        <v>622</v>
      </c>
      <c r="F107" t="s">
        <v>425</v>
      </c>
    </row>
    <row r="108" spans="1:6" x14ac:dyDescent="0.25">
      <c r="A108">
        <v>107</v>
      </c>
      <c r="B108" t="s">
        <v>623</v>
      </c>
      <c r="C108" t="s">
        <v>427</v>
      </c>
      <c r="D108" t="s">
        <v>423</v>
      </c>
      <c r="E108" t="s">
        <v>624</v>
      </c>
      <c r="F108" t="s">
        <v>421</v>
      </c>
    </row>
    <row r="109" spans="1:6" x14ac:dyDescent="0.25">
      <c r="A109">
        <v>108</v>
      </c>
      <c r="B109" t="s">
        <v>625</v>
      </c>
      <c r="C109" t="s">
        <v>427</v>
      </c>
      <c r="D109" t="s">
        <v>428</v>
      </c>
      <c r="E109" t="s">
        <v>626</v>
      </c>
      <c r="F109" t="s">
        <v>433</v>
      </c>
    </row>
    <row r="110" spans="1:6" x14ac:dyDescent="0.25">
      <c r="A110">
        <v>109</v>
      </c>
      <c r="B110" t="s">
        <v>627</v>
      </c>
      <c r="C110" t="s">
        <v>427</v>
      </c>
      <c r="D110" t="s">
        <v>423</v>
      </c>
      <c r="E110" t="s">
        <v>628</v>
      </c>
      <c r="F110" t="s">
        <v>425</v>
      </c>
    </row>
    <row r="111" spans="1:6" x14ac:dyDescent="0.25">
      <c r="A111">
        <v>110</v>
      </c>
      <c r="B111" t="s">
        <v>629</v>
      </c>
      <c r="C111" t="s">
        <v>419</v>
      </c>
      <c r="D111" t="s">
        <v>437</v>
      </c>
      <c r="E111" t="s">
        <v>630</v>
      </c>
      <c r="F111" t="s">
        <v>425</v>
      </c>
    </row>
    <row r="112" spans="1:6" x14ac:dyDescent="0.25">
      <c r="A112">
        <v>111</v>
      </c>
      <c r="B112" t="s">
        <v>631</v>
      </c>
      <c r="C112" t="s">
        <v>419</v>
      </c>
      <c r="D112" t="s">
        <v>423</v>
      </c>
      <c r="E112" t="s">
        <v>632</v>
      </c>
      <c r="F112" t="s">
        <v>421</v>
      </c>
    </row>
    <row r="113" spans="1:6" x14ac:dyDescent="0.25">
      <c r="A113">
        <v>112</v>
      </c>
      <c r="B113" t="s">
        <v>633</v>
      </c>
      <c r="C113" t="s">
        <v>419</v>
      </c>
      <c r="D113" t="s">
        <v>423</v>
      </c>
      <c r="E113" t="s">
        <v>634</v>
      </c>
      <c r="F113" t="s">
        <v>421</v>
      </c>
    </row>
    <row r="114" spans="1:6" x14ac:dyDescent="0.25">
      <c r="A114">
        <v>113</v>
      </c>
      <c r="B114" t="s">
        <v>635</v>
      </c>
      <c r="C114" t="s">
        <v>419</v>
      </c>
      <c r="D114" t="s">
        <v>428</v>
      </c>
      <c r="E114" t="s">
        <v>636</v>
      </c>
      <c r="F114" t="s">
        <v>425</v>
      </c>
    </row>
    <row r="115" spans="1:6" x14ac:dyDescent="0.25">
      <c r="A115">
        <v>114</v>
      </c>
      <c r="B115" t="s">
        <v>637</v>
      </c>
      <c r="C115" t="s">
        <v>431</v>
      </c>
      <c r="D115" t="s">
        <v>437</v>
      </c>
      <c r="E115" t="s">
        <v>638</v>
      </c>
      <c r="F115" t="s">
        <v>425</v>
      </c>
    </row>
    <row r="116" spans="1:6" x14ac:dyDescent="0.25">
      <c r="A116">
        <v>115</v>
      </c>
      <c r="B116" t="s">
        <v>639</v>
      </c>
      <c r="C116" t="s">
        <v>431</v>
      </c>
      <c r="D116" t="s">
        <v>420</v>
      </c>
      <c r="E116" t="s">
        <v>640</v>
      </c>
      <c r="F116" t="s">
        <v>425</v>
      </c>
    </row>
    <row r="117" spans="1:6" x14ac:dyDescent="0.25">
      <c r="A117">
        <v>116</v>
      </c>
      <c r="B117" t="s">
        <v>641</v>
      </c>
      <c r="C117" t="s">
        <v>419</v>
      </c>
      <c r="D117" t="s">
        <v>420</v>
      </c>
      <c r="E117" t="s">
        <v>642</v>
      </c>
      <c r="F117" t="s">
        <v>425</v>
      </c>
    </row>
    <row r="118" spans="1:6" x14ac:dyDescent="0.25">
      <c r="A118">
        <v>117</v>
      </c>
      <c r="B118" t="s">
        <v>643</v>
      </c>
      <c r="C118" t="s">
        <v>419</v>
      </c>
      <c r="D118" t="s">
        <v>423</v>
      </c>
      <c r="E118" t="s">
        <v>644</v>
      </c>
      <c r="F118" t="s">
        <v>421</v>
      </c>
    </row>
    <row r="119" spans="1:6" x14ac:dyDescent="0.25">
      <c r="A119">
        <v>118</v>
      </c>
      <c r="B119" t="s">
        <v>645</v>
      </c>
      <c r="C119" t="s">
        <v>427</v>
      </c>
      <c r="D119" t="s">
        <v>435</v>
      </c>
      <c r="E119" t="s">
        <v>646</v>
      </c>
      <c r="F119" t="s">
        <v>425</v>
      </c>
    </row>
    <row r="120" spans="1:6" x14ac:dyDescent="0.25">
      <c r="A120">
        <v>119</v>
      </c>
      <c r="B120" t="s">
        <v>647</v>
      </c>
      <c r="C120" t="s">
        <v>419</v>
      </c>
      <c r="D120" t="s">
        <v>420</v>
      </c>
      <c r="E120" t="s">
        <v>648</v>
      </c>
      <c r="F120" t="s">
        <v>433</v>
      </c>
    </row>
    <row r="121" spans="1:6" x14ac:dyDescent="0.25">
      <c r="A121">
        <v>120</v>
      </c>
      <c r="B121" t="s">
        <v>649</v>
      </c>
      <c r="C121" t="s">
        <v>431</v>
      </c>
      <c r="D121" t="s">
        <v>435</v>
      </c>
      <c r="E121" t="s">
        <v>650</v>
      </c>
      <c r="F121" t="s">
        <v>425</v>
      </c>
    </row>
    <row r="122" spans="1:6" x14ac:dyDescent="0.25">
      <c r="A122">
        <v>121</v>
      </c>
      <c r="B122" t="s">
        <v>651</v>
      </c>
      <c r="C122" t="s">
        <v>419</v>
      </c>
      <c r="D122" t="s">
        <v>428</v>
      </c>
      <c r="E122" t="s">
        <v>652</v>
      </c>
      <c r="F122" t="s">
        <v>425</v>
      </c>
    </row>
    <row r="123" spans="1:6" x14ac:dyDescent="0.25">
      <c r="A123">
        <v>122</v>
      </c>
      <c r="B123" t="s">
        <v>653</v>
      </c>
      <c r="C123" t="s">
        <v>431</v>
      </c>
      <c r="D123" t="s">
        <v>420</v>
      </c>
      <c r="E123" t="s">
        <v>654</v>
      </c>
      <c r="F123" t="s">
        <v>425</v>
      </c>
    </row>
    <row r="124" spans="1:6" x14ac:dyDescent="0.25">
      <c r="A124">
        <v>123</v>
      </c>
      <c r="B124" t="s">
        <v>655</v>
      </c>
      <c r="C124" t="s">
        <v>427</v>
      </c>
      <c r="D124" t="s">
        <v>428</v>
      </c>
      <c r="E124" t="s">
        <v>656</v>
      </c>
      <c r="F124" t="s">
        <v>446</v>
      </c>
    </row>
    <row r="125" spans="1:6" x14ac:dyDescent="0.25">
      <c r="A125">
        <v>124</v>
      </c>
      <c r="B125" t="s">
        <v>657</v>
      </c>
      <c r="C125" t="s">
        <v>427</v>
      </c>
      <c r="D125" t="s">
        <v>435</v>
      </c>
      <c r="E125" t="s">
        <v>403</v>
      </c>
      <c r="F125" t="s">
        <v>421</v>
      </c>
    </row>
    <row r="126" spans="1:6" x14ac:dyDescent="0.25">
      <c r="A126">
        <v>125</v>
      </c>
      <c r="B126" t="s">
        <v>658</v>
      </c>
      <c r="C126" t="s">
        <v>419</v>
      </c>
      <c r="D126" t="s">
        <v>435</v>
      </c>
      <c r="E126" t="s">
        <v>659</v>
      </c>
      <c r="F126" t="s">
        <v>433</v>
      </c>
    </row>
    <row r="127" spans="1:6" x14ac:dyDescent="0.25">
      <c r="A127">
        <v>126</v>
      </c>
      <c r="B127" t="s">
        <v>660</v>
      </c>
      <c r="C127" t="s">
        <v>427</v>
      </c>
      <c r="D127" t="s">
        <v>423</v>
      </c>
      <c r="E127" t="s">
        <v>661</v>
      </c>
      <c r="F127" t="s">
        <v>421</v>
      </c>
    </row>
    <row r="128" spans="1:6" x14ac:dyDescent="0.25">
      <c r="A128">
        <v>127</v>
      </c>
      <c r="B128" t="s">
        <v>662</v>
      </c>
      <c r="C128" t="s">
        <v>427</v>
      </c>
      <c r="D128" t="s">
        <v>437</v>
      </c>
      <c r="E128" t="s">
        <v>663</v>
      </c>
      <c r="F128" t="s">
        <v>421</v>
      </c>
    </row>
    <row r="129" spans="1:6" x14ac:dyDescent="0.25">
      <c r="A129">
        <v>128</v>
      </c>
      <c r="B129" t="s">
        <v>664</v>
      </c>
      <c r="C129" t="s">
        <v>419</v>
      </c>
      <c r="D129" t="s">
        <v>437</v>
      </c>
      <c r="E129" t="s">
        <v>665</v>
      </c>
      <c r="F129" t="s">
        <v>421</v>
      </c>
    </row>
    <row r="130" spans="1:6" x14ac:dyDescent="0.25">
      <c r="A130">
        <v>129</v>
      </c>
      <c r="B130" t="s">
        <v>666</v>
      </c>
      <c r="C130" t="s">
        <v>427</v>
      </c>
      <c r="D130" t="s">
        <v>423</v>
      </c>
      <c r="E130" t="s">
        <v>667</v>
      </c>
      <c r="F130" t="s">
        <v>425</v>
      </c>
    </row>
    <row r="131" spans="1:6" x14ac:dyDescent="0.25">
      <c r="A131">
        <v>130</v>
      </c>
      <c r="B131" t="s">
        <v>668</v>
      </c>
      <c r="C131" t="s">
        <v>419</v>
      </c>
      <c r="D131" t="s">
        <v>437</v>
      </c>
      <c r="E131" t="s">
        <v>669</v>
      </c>
      <c r="F131" t="s">
        <v>425</v>
      </c>
    </row>
    <row r="132" spans="1:6" x14ac:dyDescent="0.25">
      <c r="A132">
        <v>131</v>
      </c>
      <c r="B132" t="s">
        <v>670</v>
      </c>
      <c r="C132" t="s">
        <v>427</v>
      </c>
      <c r="D132" t="s">
        <v>428</v>
      </c>
      <c r="E132" t="s">
        <v>671</v>
      </c>
      <c r="F132" t="s">
        <v>425</v>
      </c>
    </row>
    <row r="133" spans="1:6" x14ac:dyDescent="0.25">
      <c r="A133">
        <v>132</v>
      </c>
      <c r="B133" t="s">
        <v>672</v>
      </c>
      <c r="C133" t="s">
        <v>431</v>
      </c>
      <c r="D133" t="s">
        <v>435</v>
      </c>
      <c r="E133" t="s">
        <v>673</v>
      </c>
      <c r="F133" t="s">
        <v>421</v>
      </c>
    </row>
    <row r="134" spans="1:6" x14ac:dyDescent="0.25">
      <c r="A134">
        <v>133</v>
      </c>
      <c r="B134" t="s">
        <v>674</v>
      </c>
      <c r="C134" t="s">
        <v>431</v>
      </c>
      <c r="D134" t="s">
        <v>420</v>
      </c>
      <c r="E134" t="s">
        <v>408</v>
      </c>
      <c r="F134" t="s">
        <v>425</v>
      </c>
    </row>
    <row r="135" spans="1:6" x14ac:dyDescent="0.25">
      <c r="A135">
        <v>134</v>
      </c>
      <c r="B135" t="s">
        <v>675</v>
      </c>
      <c r="C135" t="s">
        <v>419</v>
      </c>
      <c r="D135" t="s">
        <v>435</v>
      </c>
      <c r="E135" t="s">
        <v>676</v>
      </c>
      <c r="F135" t="s">
        <v>425</v>
      </c>
    </row>
    <row r="136" spans="1:6" x14ac:dyDescent="0.25">
      <c r="A136">
        <v>135</v>
      </c>
      <c r="B136" t="s">
        <v>677</v>
      </c>
      <c r="C136" t="s">
        <v>427</v>
      </c>
      <c r="D136" t="s">
        <v>435</v>
      </c>
      <c r="E136" t="s">
        <v>678</v>
      </c>
      <c r="F136" t="s">
        <v>433</v>
      </c>
    </row>
    <row r="137" spans="1:6" x14ac:dyDescent="0.25">
      <c r="A137">
        <v>136</v>
      </c>
      <c r="B137" t="s">
        <v>679</v>
      </c>
      <c r="C137" t="s">
        <v>419</v>
      </c>
      <c r="D137" t="s">
        <v>420</v>
      </c>
      <c r="E137" t="s">
        <v>529</v>
      </c>
      <c r="F137" t="s">
        <v>433</v>
      </c>
    </row>
    <row r="138" spans="1:6" x14ac:dyDescent="0.25">
      <c r="A138">
        <v>137</v>
      </c>
      <c r="B138" t="s">
        <v>680</v>
      </c>
      <c r="C138" t="s">
        <v>419</v>
      </c>
      <c r="D138" t="s">
        <v>435</v>
      </c>
      <c r="E138" t="s">
        <v>101</v>
      </c>
      <c r="F138" t="s">
        <v>425</v>
      </c>
    </row>
    <row r="139" spans="1:6" x14ac:dyDescent="0.25">
      <c r="A139">
        <v>138</v>
      </c>
      <c r="B139" t="s">
        <v>681</v>
      </c>
      <c r="C139" t="s">
        <v>427</v>
      </c>
      <c r="D139" t="s">
        <v>435</v>
      </c>
      <c r="E139" t="s">
        <v>682</v>
      </c>
      <c r="F139" t="s">
        <v>433</v>
      </c>
    </row>
    <row r="140" spans="1:6" x14ac:dyDescent="0.25">
      <c r="A140">
        <v>139</v>
      </c>
      <c r="B140" t="s">
        <v>683</v>
      </c>
      <c r="C140" t="s">
        <v>427</v>
      </c>
      <c r="D140" t="s">
        <v>428</v>
      </c>
      <c r="E140" t="s">
        <v>406</v>
      </c>
      <c r="F140" t="s">
        <v>421</v>
      </c>
    </row>
    <row r="141" spans="1:6" x14ac:dyDescent="0.25">
      <c r="A141">
        <v>140</v>
      </c>
      <c r="B141" t="s">
        <v>684</v>
      </c>
      <c r="C141" t="s">
        <v>419</v>
      </c>
      <c r="D141" t="s">
        <v>423</v>
      </c>
      <c r="E141" t="s">
        <v>685</v>
      </c>
      <c r="F141" t="s">
        <v>425</v>
      </c>
    </row>
    <row r="142" spans="1:6" x14ac:dyDescent="0.25">
      <c r="A142">
        <v>141</v>
      </c>
      <c r="B142" t="s">
        <v>686</v>
      </c>
      <c r="C142" t="s">
        <v>427</v>
      </c>
      <c r="D142" t="s">
        <v>435</v>
      </c>
      <c r="E142" t="s">
        <v>687</v>
      </c>
      <c r="F142" t="s">
        <v>425</v>
      </c>
    </row>
    <row r="143" spans="1:6" x14ac:dyDescent="0.25">
      <c r="A143">
        <v>142</v>
      </c>
      <c r="B143" t="s">
        <v>688</v>
      </c>
      <c r="C143" t="s">
        <v>419</v>
      </c>
      <c r="D143" t="s">
        <v>435</v>
      </c>
      <c r="E143" t="s">
        <v>689</v>
      </c>
      <c r="F143" t="s">
        <v>421</v>
      </c>
    </row>
    <row r="144" spans="1:6" x14ac:dyDescent="0.25">
      <c r="A144">
        <v>143</v>
      </c>
      <c r="B144" t="s">
        <v>690</v>
      </c>
      <c r="C144" t="s">
        <v>427</v>
      </c>
      <c r="D144" t="s">
        <v>423</v>
      </c>
      <c r="E144" t="s">
        <v>691</v>
      </c>
      <c r="F144" t="s">
        <v>446</v>
      </c>
    </row>
    <row r="145" spans="1:6" x14ac:dyDescent="0.25">
      <c r="A145">
        <v>144</v>
      </c>
      <c r="B145" t="s">
        <v>692</v>
      </c>
      <c r="C145" t="s">
        <v>431</v>
      </c>
      <c r="D145" t="s">
        <v>435</v>
      </c>
      <c r="E145" t="s">
        <v>693</v>
      </c>
      <c r="F145" t="s">
        <v>421</v>
      </c>
    </row>
    <row r="146" spans="1:6" x14ac:dyDescent="0.25">
      <c r="A146">
        <v>145</v>
      </c>
      <c r="B146" t="s">
        <v>694</v>
      </c>
      <c r="C146" t="s">
        <v>431</v>
      </c>
      <c r="D146" t="s">
        <v>420</v>
      </c>
      <c r="E146" t="s">
        <v>695</v>
      </c>
      <c r="F146" t="s">
        <v>421</v>
      </c>
    </row>
    <row r="147" spans="1:6" x14ac:dyDescent="0.25">
      <c r="A147">
        <v>146</v>
      </c>
      <c r="B147" t="s">
        <v>696</v>
      </c>
      <c r="C147" t="s">
        <v>427</v>
      </c>
      <c r="D147" t="s">
        <v>423</v>
      </c>
      <c r="E147" t="s">
        <v>697</v>
      </c>
      <c r="F147" t="s">
        <v>425</v>
      </c>
    </row>
    <row r="148" spans="1:6" x14ac:dyDescent="0.25">
      <c r="A148">
        <v>147</v>
      </c>
      <c r="B148" t="s">
        <v>698</v>
      </c>
      <c r="C148" t="s">
        <v>427</v>
      </c>
      <c r="D148" t="s">
        <v>423</v>
      </c>
      <c r="E148" t="s">
        <v>699</v>
      </c>
      <c r="F148" t="s">
        <v>425</v>
      </c>
    </row>
    <row r="149" spans="1:6" x14ac:dyDescent="0.25">
      <c r="A149">
        <v>148</v>
      </c>
      <c r="B149" t="s">
        <v>700</v>
      </c>
      <c r="C149" t="s">
        <v>427</v>
      </c>
      <c r="D149" t="s">
        <v>437</v>
      </c>
      <c r="E149" t="s">
        <v>701</v>
      </c>
      <c r="F149" t="s">
        <v>421</v>
      </c>
    </row>
    <row r="150" spans="1:6" x14ac:dyDescent="0.25">
      <c r="A150">
        <v>149</v>
      </c>
      <c r="B150" t="s">
        <v>702</v>
      </c>
      <c r="C150" t="s">
        <v>427</v>
      </c>
      <c r="D150" t="s">
        <v>437</v>
      </c>
      <c r="E150" t="s">
        <v>473</v>
      </c>
      <c r="F150" t="s">
        <v>433</v>
      </c>
    </row>
    <row r="151" spans="1:6" x14ac:dyDescent="0.25">
      <c r="A151">
        <v>150</v>
      </c>
      <c r="B151" t="s">
        <v>703</v>
      </c>
      <c r="C151" t="s">
        <v>431</v>
      </c>
      <c r="D151" t="s">
        <v>428</v>
      </c>
      <c r="E151" t="s">
        <v>704</v>
      </c>
      <c r="F151" t="s">
        <v>425</v>
      </c>
    </row>
    <row r="152" spans="1:6" x14ac:dyDescent="0.25">
      <c r="A152">
        <v>151</v>
      </c>
      <c r="B152" t="s">
        <v>705</v>
      </c>
      <c r="C152" t="s">
        <v>431</v>
      </c>
      <c r="D152" t="s">
        <v>420</v>
      </c>
      <c r="E152" t="s">
        <v>706</v>
      </c>
      <c r="F152" t="s">
        <v>421</v>
      </c>
    </row>
    <row r="153" spans="1:6" x14ac:dyDescent="0.25">
      <c r="A153">
        <v>152</v>
      </c>
      <c r="B153" t="s">
        <v>707</v>
      </c>
      <c r="C153" t="s">
        <v>431</v>
      </c>
      <c r="D153" t="s">
        <v>420</v>
      </c>
      <c r="E153" t="s">
        <v>125</v>
      </c>
      <c r="F153" t="s">
        <v>433</v>
      </c>
    </row>
    <row r="154" spans="1:6" x14ac:dyDescent="0.25">
      <c r="A154">
        <v>153</v>
      </c>
      <c r="B154" t="s">
        <v>708</v>
      </c>
      <c r="C154" t="s">
        <v>431</v>
      </c>
      <c r="D154" t="s">
        <v>428</v>
      </c>
      <c r="E154" t="s">
        <v>709</v>
      </c>
      <c r="F154" t="s">
        <v>425</v>
      </c>
    </row>
    <row r="155" spans="1:6" x14ac:dyDescent="0.25">
      <c r="A155">
        <v>154</v>
      </c>
      <c r="B155" t="s">
        <v>710</v>
      </c>
      <c r="C155" t="s">
        <v>427</v>
      </c>
      <c r="D155" t="s">
        <v>420</v>
      </c>
      <c r="E155" t="s">
        <v>711</v>
      </c>
      <c r="F155" t="s">
        <v>421</v>
      </c>
    </row>
    <row r="156" spans="1:6" x14ac:dyDescent="0.25">
      <c r="A156">
        <v>155</v>
      </c>
      <c r="B156" t="s">
        <v>712</v>
      </c>
      <c r="C156" t="s">
        <v>427</v>
      </c>
      <c r="D156" t="s">
        <v>437</v>
      </c>
      <c r="E156" t="s">
        <v>713</v>
      </c>
      <c r="F156" t="s">
        <v>421</v>
      </c>
    </row>
    <row r="157" spans="1:6" x14ac:dyDescent="0.25">
      <c r="A157">
        <v>156</v>
      </c>
      <c r="B157" t="s">
        <v>714</v>
      </c>
      <c r="C157" t="s">
        <v>419</v>
      </c>
      <c r="D157" t="s">
        <v>428</v>
      </c>
      <c r="E157" t="s">
        <v>715</v>
      </c>
      <c r="F157" t="s">
        <v>446</v>
      </c>
    </row>
    <row r="158" spans="1:6" x14ac:dyDescent="0.25">
      <c r="A158">
        <v>157</v>
      </c>
      <c r="B158" t="s">
        <v>716</v>
      </c>
      <c r="C158" t="s">
        <v>431</v>
      </c>
      <c r="D158" t="s">
        <v>423</v>
      </c>
      <c r="E158" t="s">
        <v>717</v>
      </c>
      <c r="F158" t="s">
        <v>446</v>
      </c>
    </row>
    <row r="159" spans="1:6" x14ac:dyDescent="0.25">
      <c r="A159">
        <v>158</v>
      </c>
      <c r="B159" t="s">
        <v>718</v>
      </c>
      <c r="C159" t="s">
        <v>419</v>
      </c>
      <c r="D159" t="s">
        <v>420</v>
      </c>
      <c r="E159" t="s">
        <v>719</v>
      </c>
      <c r="F159" t="s">
        <v>433</v>
      </c>
    </row>
    <row r="160" spans="1:6" x14ac:dyDescent="0.25">
      <c r="A160">
        <v>159</v>
      </c>
      <c r="B160" t="s">
        <v>720</v>
      </c>
      <c r="C160" t="s">
        <v>419</v>
      </c>
      <c r="D160" t="s">
        <v>435</v>
      </c>
      <c r="E160" t="s">
        <v>721</v>
      </c>
      <c r="F160" t="s">
        <v>425</v>
      </c>
    </row>
    <row r="161" spans="1:6" x14ac:dyDescent="0.25">
      <c r="A161">
        <v>160</v>
      </c>
      <c r="B161" t="s">
        <v>722</v>
      </c>
      <c r="C161" t="s">
        <v>431</v>
      </c>
      <c r="D161" t="s">
        <v>420</v>
      </c>
      <c r="E161" t="s">
        <v>404</v>
      </c>
      <c r="F161" t="s">
        <v>421</v>
      </c>
    </row>
    <row r="162" spans="1:6" x14ac:dyDescent="0.25">
      <c r="A162">
        <v>161</v>
      </c>
      <c r="B162" t="s">
        <v>723</v>
      </c>
      <c r="C162" t="s">
        <v>419</v>
      </c>
      <c r="D162" t="s">
        <v>423</v>
      </c>
      <c r="E162" t="s">
        <v>268</v>
      </c>
      <c r="F162" t="s">
        <v>425</v>
      </c>
    </row>
    <row r="163" spans="1:6" x14ac:dyDescent="0.25">
      <c r="A163">
        <v>162</v>
      </c>
      <c r="B163" t="s">
        <v>724</v>
      </c>
      <c r="C163" t="s">
        <v>427</v>
      </c>
      <c r="D163" t="s">
        <v>428</v>
      </c>
      <c r="E163" t="s">
        <v>296</v>
      </c>
      <c r="F163" t="s">
        <v>433</v>
      </c>
    </row>
    <row r="164" spans="1:6" x14ac:dyDescent="0.25">
      <c r="A164">
        <v>163</v>
      </c>
      <c r="B164" t="s">
        <v>725</v>
      </c>
      <c r="C164" t="s">
        <v>419</v>
      </c>
      <c r="D164" t="s">
        <v>420</v>
      </c>
      <c r="E164" t="s">
        <v>580</v>
      </c>
      <c r="F164" t="s">
        <v>425</v>
      </c>
    </row>
    <row r="165" spans="1:6" x14ac:dyDescent="0.25">
      <c r="A165">
        <v>164</v>
      </c>
      <c r="B165" t="s">
        <v>726</v>
      </c>
      <c r="C165" t="s">
        <v>419</v>
      </c>
      <c r="D165" t="s">
        <v>437</v>
      </c>
      <c r="E165" t="s">
        <v>727</v>
      </c>
      <c r="F165" t="s">
        <v>425</v>
      </c>
    </row>
    <row r="166" spans="1:6" x14ac:dyDescent="0.25">
      <c r="A166">
        <v>165</v>
      </c>
      <c r="B166" t="s">
        <v>728</v>
      </c>
      <c r="C166" t="s">
        <v>427</v>
      </c>
      <c r="D166" t="s">
        <v>420</v>
      </c>
      <c r="E166" t="s">
        <v>400</v>
      </c>
      <c r="F166" t="s">
        <v>433</v>
      </c>
    </row>
    <row r="167" spans="1:6" x14ac:dyDescent="0.25">
      <c r="A167">
        <v>166</v>
      </c>
      <c r="B167" t="s">
        <v>729</v>
      </c>
      <c r="C167" t="s">
        <v>427</v>
      </c>
      <c r="D167" t="s">
        <v>420</v>
      </c>
      <c r="E167" t="s">
        <v>399</v>
      </c>
      <c r="F167" t="s">
        <v>425</v>
      </c>
    </row>
    <row r="168" spans="1:6" x14ac:dyDescent="0.25">
      <c r="A168">
        <v>167</v>
      </c>
      <c r="B168" t="s">
        <v>730</v>
      </c>
      <c r="C168" t="s">
        <v>419</v>
      </c>
      <c r="D168" t="s">
        <v>435</v>
      </c>
      <c r="E168" t="s">
        <v>731</v>
      </c>
      <c r="F168" t="s">
        <v>421</v>
      </c>
    </row>
    <row r="169" spans="1:6" x14ac:dyDescent="0.25">
      <c r="A169">
        <v>168</v>
      </c>
      <c r="B169" t="s">
        <v>732</v>
      </c>
      <c r="C169" t="s">
        <v>431</v>
      </c>
      <c r="D169" t="s">
        <v>428</v>
      </c>
      <c r="E169" t="s">
        <v>733</v>
      </c>
      <c r="F169" t="s">
        <v>446</v>
      </c>
    </row>
    <row r="170" spans="1:6" x14ac:dyDescent="0.25">
      <c r="A170">
        <v>169</v>
      </c>
      <c r="B170" t="s">
        <v>734</v>
      </c>
      <c r="C170" t="s">
        <v>419</v>
      </c>
      <c r="D170" t="s">
        <v>428</v>
      </c>
      <c r="E170" t="s">
        <v>735</v>
      </c>
      <c r="F170" t="s">
        <v>421</v>
      </c>
    </row>
    <row r="171" spans="1:6" x14ac:dyDescent="0.25">
      <c r="A171">
        <v>170</v>
      </c>
      <c r="B171" t="s">
        <v>736</v>
      </c>
      <c r="C171" t="s">
        <v>427</v>
      </c>
      <c r="D171" t="s">
        <v>428</v>
      </c>
      <c r="E171" t="s">
        <v>737</v>
      </c>
      <c r="F171" t="s">
        <v>425</v>
      </c>
    </row>
    <row r="172" spans="1:6" x14ac:dyDescent="0.25">
      <c r="A172">
        <v>171</v>
      </c>
      <c r="B172" t="s">
        <v>738</v>
      </c>
      <c r="C172" t="s">
        <v>431</v>
      </c>
      <c r="D172" t="s">
        <v>420</v>
      </c>
      <c r="E172" t="s">
        <v>70</v>
      </c>
      <c r="F172" t="s">
        <v>425</v>
      </c>
    </row>
    <row r="173" spans="1:6" x14ac:dyDescent="0.25">
      <c r="A173">
        <v>172</v>
      </c>
      <c r="B173" t="s">
        <v>739</v>
      </c>
      <c r="C173" t="s">
        <v>431</v>
      </c>
      <c r="D173" t="s">
        <v>435</v>
      </c>
      <c r="E173" t="s">
        <v>740</v>
      </c>
      <c r="F173" t="s">
        <v>421</v>
      </c>
    </row>
    <row r="174" spans="1:6" x14ac:dyDescent="0.25">
      <c r="A174">
        <v>173</v>
      </c>
      <c r="B174" t="s">
        <v>741</v>
      </c>
      <c r="C174" t="s">
        <v>427</v>
      </c>
      <c r="D174" t="s">
        <v>437</v>
      </c>
      <c r="E174" t="s">
        <v>742</v>
      </c>
      <c r="F174" t="s">
        <v>425</v>
      </c>
    </row>
    <row r="175" spans="1:6" x14ac:dyDescent="0.25">
      <c r="A175">
        <v>174</v>
      </c>
      <c r="B175" t="s">
        <v>743</v>
      </c>
      <c r="C175" t="s">
        <v>427</v>
      </c>
      <c r="D175" t="s">
        <v>423</v>
      </c>
      <c r="E175" t="s">
        <v>313</v>
      </c>
      <c r="F175" t="s">
        <v>425</v>
      </c>
    </row>
    <row r="176" spans="1:6" x14ac:dyDescent="0.25">
      <c r="A176">
        <v>175</v>
      </c>
      <c r="B176" t="s">
        <v>744</v>
      </c>
      <c r="C176" t="s">
        <v>427</v>
      </c>
      <c r="D176" t="s">
        <v>437</v>
      </c>
      <c r="E176" t="s">
        <v>745</v>
      </c>
      <c r="F176" t="s">
        <v>425</v>
      </c>
    </row>
    <row r="177" spans="1:6" x14ac:dyDescent="0.25">
      <c r="A177">
        <v>176</v>
      </c>
      <c r="B177" t="s">
        <v>746</v>
      </c>
      <c r="C177" t="s">
        <v>419</v>
      </c>
      <c r="D177" t="s">
        <v>437</v>
      </c>
      <c r="E177" t="s">
        <v>138</v>
      </c>
      <c r="F177" t="s">
        <v>421</v>
      </c>
    </row>
    <row r="178" spans="1:6" x14ac:dyDescent="0.25">
      <c r="A178">
        <v>177</v>
      </c>
      <c r="B178" t="s">
        <v>747</v>
      </c>
      <c r="C178" t="s">
        <v>431</v>
      </c>
      <c r="D178" t="s">
        <v>420</v>
      </c>
      <c r="E178" t="s">
        <v>748</v>
      </c>
      <c r="F178" t="s">
        <v>425</v>
      </c>
    </row>
    <row r="179" spans="1:6" x14ac:dyDescent="0.25">
      <c r="A179">
        <v>178</v>
      </c>
      <c r="B179" t="s">
        <v>749</v>
      </c>
      <c r="C179" t="s">
        <v>427</v>
      </c>
      <c r="D179" t="s">
        <v>428</v>
      </c>
      <c r="E179" t="s">
        <v>750</v>
      </c>
      <c r="F179" t="s">
        <v>421</v>
      </c>
    </row>
    <row r="180" spans="1:6" x14ac:dyDescent="0.25">
      <c r="A180">
        <v>179</v>
      </c>
      <c r="B180" t="s">
        <v>751</v>
      </c>
      <c r="C180" t="s">
        <v>427</v>
      </c>
      <c r="D180" t="s">
        <v>435</v>
      </c>
      <c r="E180" t="s">
        <v>752</v>
      </c>
      <c r="F180" t="s">
        <v>425</v>
      </c>
    </row>
    <row r="181" spans="1:6" x14ac:dyDescent="0.25">
      <c r="A181">
        <v>180</v>
      </c>
      <c r="B181" t="s">
        <v>753</v>
      </c>
      <c r="C181" t="s">
        <v>431</v>
      </c>
      <c r="D181" t="s">
        <v>437</v>
      </c>
      <c r="E181" t="s">
        <v>754</v>
      </c>
      <c r="F181" t="s">
        <v>425</v>
      </c>
    </row>
    <row r="182" spans="1:6" x14ac:dyDescent="0.25">
      <c r="A182">
        <v>181</v>
      </c>
      <c r="B182" t="s">
        <v>755</v>
      </c>
      <c r="C182" t="s">
        <v>431</v>
      </c>
      <c r="D182" t="s">
        <v>437</v>
      </c>
      <c r="E182" t="s">
        <v>756</v>
      </c>
      <c r="F182" t="s">
        <v>421</v>
      </c>
    </row>
    <row r="183" spans="1:6" x14ac:dyDescent="0.25">
      <c r="A183">
        <v>182</v>
      </c>
      <c r="B183" t="s">
        <v>757</v>
      </c>
      <c r="C183" t="s">
        <v>427</v>
      </c>
      <c r="D183" t="s">
        <v>428</v>
      </c>
      <c r="E183" t="s">
        <v>758</v>
      </c>
      <c r="F183" t="s">
        <v>421</v>
      </c>
    </row>
    <row r="184" spans="1:6" x14ac:dyDescent="0.25">
      <c r="A184">
        <v>183</v>
      </c>
      <c r="B184" t="s">
        <v>759</v>
      </c>
      <c r="C184" t="s">
        <v>419</v>
      </c>
      <c r="D184" t="s">
        <v>428</v>
      </c>
      <c r="E184" t="s">
        <v>760</v>
      </c>
      <c r="F184" t="s">
        <v>425</v>
      </c>
    </row>
    <row r="185" spans="1:6" x14ac:dyDescent="0.25">
      <c r="A185">
        <v>184</v>
      </c>
      <c r="B185" t="s">
        <v>761</v>
      </c>
      <c r="C185" t="s">
        <v>427</v>
      </c>
      <c r="D185" t="s">
        <v>437</v>
      </c>
      <c r="E185" t="s">
        <v>762</v>
      </c>
      <c r="F185" t="s">
        <v>425</v>
      </c>
    </row>
    <row r="186" spans="1:6" x14ac:dyDescent="0.25">
      <c r="A186">
        <v>185</v>
      </c>
      <c r="B186" t="s">
        <v>763</v>
      </c>
      <c r="C186" t="s">
        <v>431</v>
      </c>
      <c r="D186" t="s">
        <v>423</v>
      </c>
      <c r="E186" t="s">
        <v>764</v>
      </c>
      <c r="F186" t="s">
        <v>425</v>
      </c>
    </row>
    <row r="187" spans="1:6" x14ac:dyDescent="0.25">
      <c r="A187">
        <v>186</v>
      </c>
      <c r="B187" t="s">
        <v>765</v>
      </c>
      <c r="C187" t="s">
        <v>419</v>
      </c>
      <c r="D187" t="s">
        <v>423</v>
      </c>
      <c r="E187" t="s">
        <v>766</v>
      </c>
      <c r="F187" t="s">
        <v>425</v>
      </c>
    </row>
    <row r="188" spans="1:6" x14ac:dyDescent="0.25">
      <c r="A188">
        <v>187</v>
      </c>
      <c r="B188" t="s">
        <v>767</v>
      </c>
      <c r="C188" t="s">
        <v>427</v>
      </c>
      <c r="D188" t="s">
        <v>437</v>
      </c>
      <c r="E188" t="s">
        <v>29</v>
      </c>
      <c r="F188" t="s">
        <v>421</v>
      </c>
    </row>
    <row r="189" spans="1:6" x14ac:dyDescent="0.25">
      <c r="A189">
        <v>188</v>
      </c>
      <c r="B189" t="s">
        <v>768</v>
      </c>
      <c r="C189" t="s">
        <v>419</v>
      </c>
      <c r="D189" t="s">
        <v>428</v>
      </c>
      <c r="E189" t="s">
        <v>36</v>
      </c>
      <c r="F189" t="s">
        <v>425</v>
      </c>
    </row>
    <row r="190" spans="1:6" x14ac:dyDescent="0.25">
      <c r="A190">
        <v>189</v>
      </c>
      <c r="B190" t="s">
        <v>769</v>
      </c>
      <c r="C190" t="s">
        <v>431</v>
      </c>
      <c r="D190" t="s">
        <v>437</v>
      </c>
      <c r="E190" t="s">
        <v>770</v>
      </c>
      <c r="F190" t="s">
        <v>425</v>
      </c>
    </row>
    <row r="191" spans="1:6" x14ac:dyDescent="0.25">
      <c r="A191">
        <v>190</v>
      </c>
      <c r="B191" t="s">
        <v>771</v>
      </c>
      <c r="C191" t="s">
        <v>427</v>
      </c>
      <c r="D191" t="s">
        <v>420</v>
      </c>
      <c r="E191" t="s">
        <v>772</v>
      </c>
      <c r="F191" t="s">
        <v>421</v>
      </c>
    </row>
    <row r="192" spans="1:6" x14ac:dyDescent="0.25">
      <c r="A192">
        <v>191</v>
      </c>
      <c r="B192" t="s">
        <v>773</v>
      </c>
      <c r="C192" t="s">
        <v>427</v>
      </c>
      <c r="D192" t="s">
        <v>420</v>
      </c>
      <c r="E192" t="s">
        <v>774</v>
      </c>
      <c r="F192" t="s">
        <v>446</v>
      </c>
    </row>
    <row r="193" spans="1:6" x14ac:dyDescent="0.25">
      <c r="A193">
        <v>192</v>
      </c>
      <c r="B193" t="s">
        <v>775</v>
      </c>
      <c r="C193" t="s">
        <v>427</v>
      </c>
      <c r="D193" t="s">
        <v>423</v>
      </c>
      <c r="E193" t="s">
        <v>264</v>
      </c>
      <c r="F193" t="s">
        <v>421</v>
      </c>
    </row>
    <row r="194" spans="1:6" x14ac:dyDescent="0.25">
      <c r="A194">
        <v>193</v>
      </c>
      <c r="B194" t="s">
        <v>776</v>
      </c>
      <c r="C194" t="s">
        <v>427</v>
      </c>
      <c r="D194" t="s">
        <v>420</v>
      </c>
      <c r="E194" t="s">
        <v>777</v>
      </c>
      <c r="F194" t="s">
        <v>433</v>
      </c>
    </row>
    <row r="195" spans="1:6" x14ac:dyDescent="0.25">
      <c r="A195">
        <v>194</v>
      </c>
      <c r="B195" t="s">
        <v>778</v>
      </c>
      <c r="C195" t="s">
        <v>427</v>
      </c>
      <c r="D195" t="s">
        <v>435</v>
      </c>
      <c r="E195" t="s">
        <v>779</v>
      </c>
      <c r="F195" t="s">
        <v>425</v>
      </c>
    </row>
    <row r="196" spans="1:6" x14ac:dyDescent="0.25">
      <c r="A196">
        <v>195</v>
      </c>
      <c r="B196" t="s">
        <v>780</v>
      </c>
      <c r="C196" t="s">
        <v>431</v>
      </c>
      <c r="D196" t="s">
        <v>420</v>
      </c>
      <c r="E196" t="s">
        <v>781</v>
      </c>
      <c r="F196" t="s">
        <v>425</v>
      </c>
    </row>
    <row r="197" spans="1:6" x14ac:dyDescent="0.25">
      <c r="A197">
        <v>196</v>
      </c>
      <c r="B197" t="s">
        <v>782</v>
      </c>
      <c r="C197" t="s">
        <v>427</v>
      </c>
      <c r="D197" t="s">
        <v>420</v>
      </c>
      <c r="E197" t="s">
        <v>783</v>
      </c>
      <c r="F197" t="s">
        <v>433</v>
      </c>
    </row>
    <row r="198" spans="1:6" x14ac:dyDescent="0.25">
      <c r="A198">
        <v>197</v>
      </c>
      <c r="B198" t="s">
        <v>784</v>
      </c>
      <c r="C198" t="s">
        <v>427</v>
      </c>
      <c r="D198" t="s">
        <v>420</v>
      </c>
      <c r="E198" t="s">
        <v>785</v>
      </c>
      <c r="F198" t="s">
        <v>421</v>
      </c>
    </row>
    <row r="199" spans="1:6" x14ac:dyDescent="0.25">
      <c r="A199">
        <v>198</v>
      </c>
      <c r="B199" t="s">
        <v>786</v>
      </c>
      <c r="C199" t="s">
        <v>431</v>
      </c>
      <c r="D199" t="s">
        <v>423</v>
      </c>
      <c r="E199" t="s">
        <v>787</v>
      </c>
      <c r="F199" t="s">
        <v>425</v>
      </c>
    </row>
    <row r="200" spans="1:6" x14ac:dyDescent="0.25">
      <c r="A200">
        <v>199</v>
      </c>
      <c r="B200" t="s">
        <v>788</v>
      </c>
      <c r="C200" t="s">
        <v>427</v>
      </c>
      <c r="D200" t="s">
        <v>420</v>
      </c>
      <c r="E200" t="s">
        <v>789</v>
      </c>
      <c r="F200" t="s">
        <v>446</v>
      </c>
    </row>
    <row r="201" spans="1:6" x14ac:dyDescent="0.25">
      <c r="A201">
        <v>200</v>
      </c>
      <c r="B201" t="s">
        <v>790</v>
      </c>
      <c r="C201" t="s">
        <v>419</v>
      </c>
      <c r="D201" t="s">
        <v>435</v>
      </c>
      <c r="E201" t="s">
        <v>791</v>
      </c>
      <c r="F201" t="s">
        <v>421</v>
      </c>
    </row>
    <row r="202" spans="1:6" x14ac:dyDescent="0.25">
      <c r="A202">
        <v>201</v>
      </c>
      <c r="B202" t="s">
        <v>792</v>
      </c>
      <c r="C202" t="s">
        <v>419</v>
      </c>
      <c r="D202" t="s">
        <v>423</v>
      </c>
      <c r="E202" t="s">
        <v>793</v>
      </c>
      <c r="F202" t="s">
        <v>421</v>
      </c>
    </row>
    <row r="203" spans="1:6" x14ac:dyDescent="0.25">
      <c r="A203">
        <v>202</v>
      </c>
      <c r="B203" t="s">
        <v>794</v>
      </c>
      <c r="C203" t="s">
        <v>427</v>
      </c>
      <c r="D203" t="s">
        <v>435</v>
      </c>
      <c r="E203" t="s">
        <v>795</v>
      </c>
      <c r="F203" t="s">
        <v>425</v>
      </c>
    </row>
    <row r="204" spans="1:6" x14ac:dyDescent="0.25">
      <c r="A204">
        <v>203</v>
      </c>
      <c r="B204" t="s">
        <v>796</v>
      </c>
      <c r="C204" t="s">
        <v>427</v>
      </c>
      <c r="D204" t="s">
        <v>437</v>
      </c>
      <c r="E204" t="s">
        <v>289</v>
      </c>
      <c r="F204" t="s">
        <v>421</v>
      </c>
    </row>
    <row r="205" spans="1:6" x14ac:dyDescent="0.25">
      <c r="A205">
        <v>204</v>
      </c>
      <c r="B205" t="s">
        <v>797</v>
      </c>
      <c r="C205" t="s">
        <v>419</v>
      </c>
      <c r="D205" t="s">
        <v>420</v>
      </c>
      <c r="E205" t="s">
        <v>798</v>
      </c>
      <c r="F205" t="s">
        <v>433</v>
      </c>
    </row>
    <row r="206" spans="1:6" x14ac:dyDescent="0.25">
      <c r="A206">
        <v>205</v>
      </c>
      <c r="B206" t="s">
        <v>799</v>
      </c>
      <c r="C206" t="s">
        <v>419</v>
      </c>
      <c r="D206" t="s">
        <v>423</v>
      </c>
      <c r="E206" t="s">
        <v>800</v>
      </c>
      <c r="F206" t="s">
        <v>425</v>
      </c>
    </row>
    <row r="207" spans="1:6" x14ac:dyDescent="0.25">
      <c r="A207">
        <v>206</v>
      </c>
      <c r="B207" t="s">
        <v>801</v>
      </c>
      <c r="C207" t="s">
        <v>431</v>
      </c>
      <c r="D207" t="s">
        <v>423</v>
      </c>
      <c r="E207" t="s">
        <v>802</v>
      </c>
      <c r="F207" t="s">
        <v>425</v>
      </c>
    </row>
    <row r="208" spans="1:6" x14ac:dyDescent="0.25">
      <c r="A208">
        <v>207</v>
      </c>
      <c r="B208" t="s">
        <v>803</v>
      </c>
      <c r="C208" t="s">
        <v>431</v>
      </c>
      <c r="D208" t="s">
        <v>420</v>
      </c>
      <c r="E208" t="s">
        <v>804</v>
      </c>
      <c r="F208" t="s">
        <v>425</v>
      </c>
    </row>
    <row r="209" spans="1:6" x14ac:dyDescent="0.25">
      <c r="A209">
        <v>208</v>
      </c>
      <c r="B209" t="s">
        <v>805</v>
      </c>
      <c r="C209" t="s">
        <v>419</v>
      </c>
      <c r="D209" t="s">
        <v>435</v>
      </c>
      <c r="E209" t="s">
        <v>38</v>
      </c>
      <c r="F209" t="s">
        <v>425</v>
      </c>
    </row>
    <row r="210" spans="1:6" x14ac:dyDescent="0.25">
      <c r="A210">
        <v>209</v>
      </c>
      <c r="B210" t="s">
        <v>806</v>
      </c>
      <c r="C210" t="s">
        <v>427</v>
      </c>
      <c r="D210" t="s">
        <v>437</v>
      </c>
      <c r="E210" t="s">
        <v>807</v>
      </c>
      <c r="F210" t="s">
        <v>421</v>
      </c>
    </row>
    <row r="211" spans="1:6" x14ac:dyDescent="0.25">
      <c r="A211">
        <v>210</v>
      </c>
      <c r="B211" t="s">
        <v>808</v>
      </c>
      <c r="C211" t="s">
        <v>431</v>
      </c>
      <c r="D211" t="s">
        <v>423</v>
      </c>
      <c r="E211" t="s">
        <v>809</v>
      </c>
      <c r="F211" t="s">
        <v>433</v>
      </c>
    </row>
    <row r="212" spans="1:6" x14ac:dyDescent="0.25">
      <c r="A212">
        <v>211</v>
      </c>
      <c r="B212" t="s">
        <v>810</v>
      </c>
      <c r="C212" t="s">
        <v>419</v>
      </c>
      <c r="D212" t="s">
        <v>428</v>
      </c>
      <c r="E212" t="s">
        <v>412</v>
      </c>
      <c r="F212" t="s">
        <v>421</v>
      </c>
    </row>
    <row r="213" spans="1:6" x14ac:dyDescent="0.25">
      <c r="A213">
        <v>212</v>
      </c>
      <c r="B213" t="s">
        <v>811</v>
      </c>
      <c r="C213" t="s">
        <v>427</v>
      </c>
      <c r="D213" t="s">
        <v>420</v>
      </c>
      <c r="E213" t="s">
        <v>812</v>
      </c>
      <c r="F213" t="s">
        <v>421</v>
      </c>
    </row>
    <row r="214" spans="1:6" x14ac:dyDescent="0.25">
      <c r="A214">
        <v>213</v>
      </c>
      <c r="B214" t="s">
        <v>813</v>
      </c>
      <c r="C214" t="s">
        <v>431</v>
      </c>
      <c r="D214" t="s">
        <v>437</v>
      </c>
      <c r="E214" t="s">
        <v>400</v>
      </c>
      <c r="F214" t="s">
        <v>433</v>
      </c>
    </row>
    <row r="215" spans="1:6" x14ac:dyDescent="0.25">
      <c r="A215">
        <v>214</v>
      </c>
      <c r="B215" t="s">
        <v>814</v>
      </c>
      <c r="C215" t="s">
        <v>431</v>
      </c>
      <c r="D215" t="s">
        <v>423</v>
      </c>
      <c r="E215" t="s">
        <v>815</v>
      </c>
      <c r="F215" t="s">
        <v>421</v>
      </c>
    </row>
    <row r="216" spans="1:6" x14ac:dyDescent="0.25">
      <c r="A216">
        <v>215</v>
      </c>
      <c r="B216" t="s">
        <v>816</v>
      </c>
      <c r="C216" t="s">
        <v>419</v>
      </c>
      <c r="D216" t="s">
        <v>428</v>
      </c>
      <c r="E216" t="s">
        <v>368</v>
      </c>
      <c r="F216" t="s">
        <v>433</v>
      </c>
    </row>
    <row r="217" spans="1:6" x14ac:dyDescent="0.25">
      <c r="A217">
        <v>216</v>
      </c>
      <c r="B217" t="s">
        <v>817</v>
      </c>
      <c r="C217" t="s">
        <v>431</v>
      </c>
      <c r="D217" t="s">
        <v>435</v>
      </c>
      <c r="E217" t="s">
        <v>818</v>
      </c>
      <c r="F217" t="s">
        <v>421</v>
      </c>
    </row>
    <row r="218" spans="1:6" x14ac:dyDescent="0.25">
      <c r="A218">
        <v>217</v>
      </c>
      <c r="B218" t="s">
        <v>819</v>
      </c>
      <c r="C218" t="s">
        <v>427</v>
      </c>
      <c r="D218" t="s">
        <v>437</v>
      </c>
      <c r="E218" t="s">
        <v>820</v>
      </c>
      <c r="F218" t="s">
        <v>421</v>
      </c>
    </row>
    <row r="219" spans="1:6" x14ac:dyDescent="0.25">
      <c r="A219">
        <v>218</v>
      </c>
      <c r="B219" t="s">
        <v>821</v>
      </c>
      <c r="C219" t="s">
        <v>427</v>
      </c>
      <c r="D219" t="s">
        <v>420</v>
      </c>
      <c r="E219" t="s">
        <v>822</v>
      </c>
      <c r="F219" t="s">
        <v>421</v>
      </c>
    </row>
    <row r="220" spans="1:6" x14ac:dyDescent="0.25">
      <c r="A220">
        <v>219</v>
      </c>
      <c r="B220" t="s">
        <v>823</v>
      </c>
      <c r="C220" t="s">
        <v>419</v>
      </c>
      <c r="D220" t="s">
        <v>437</v>
      </c>
      <c r="E220" t="s">
        <v>824</v>
      </c>
      <c r="F220" t="s">
        <v>421</v>
      </c>
    </row>
    <row r="221" spans="1:6" x14ac:dyDescent="0.25">
      <c r="A221">
        <v>220</v>
      </c>
      <c r="B221" t="s">
        <v>825</v>
      </c>
      <c r="C221" t="s">
        <v>431</v>
      </c>
      <c r="D221" t="s">
        <v>423</v>
      </c>
      <c r="E221" t="s">
        <v>826</v>
      </c>
      <c r="F221" t="s">
        <v>446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0098-DC50-4489-AE93-748182A39FBB}">
  <dimension ref="A1:I801"/>
  <sheetViews>
    <sheetView workbookViewId="0"/>
  </sheetViews>
  <sheetFormatPr defaultRowHeight="15" x14ac:dyDescent="0.25"/>
  <cols>
    <col min="1" max="1" width="9.5703125" bestFit="1" customWidth="1"/>
    <col min="2" max="2" width="10.7109375" bestFit="1" customWidth="1"/>
    <col min="3" max="3" width="12" bestFit="1" customWidth="1"/>
    <col min="4" max="4" width="14.28515625" bestFit="1" customWidth="1"/>
    <col min="5" max="5" width="12.85546875" bestFit="1" customWidth="1"/>
    <col min="6" max="6" width="10.7109375" bestFit="1" customWidth="1"/>
    <col min="7" max="7" width="7.7109375" bestFit="1" customWidth="1"/>
    <col min="8" max="8" width="10.85546875" bestFit="1" customWidth="1"/>
    <col min="9" max="9" width="15.42578125" bestFit="1" customWidth="1"/>
  </cols>
  <sheetData>
    <row r="1" spans="1:9" x14ac:dyDescent="0.25">
      <c r="A1" t="s">
        <v>0</v>
      </c>
      <c r="B1" t="s">
        <v>1</v>
      </c>
      <c r="C1" t="s">
        <v>2</v>
      </c>
      <c r="D1" t="s">
        <v>3</v>
      </c>
      <c r="E1" t="s">
        <v>4</v>
      </c>
      <c r="F1" t="s">
        <v>5</v>
      </c>
      <c r="G1" t="s">
        <v>6</v>
      </c>
      <c r="H1" t="s">
        <v>7</v>
      </c>
      <c r="I1" t="s">
        <v>8</v>
      </c>
    </row>
    <row r="2" spans="1:9" x14ac:dyDescent="0.25">
      <c r="A2">
        <v>1</v>
      </c>
      <c r="B2" s="9">
        <v>44969</v>
      </c>
      <c r="C2">
        <v>5</v>
      </c>
      <c r="D2">
        <v>189</v>
      </c>
      <c r="E2">
        <v>97</v>
      </c>
      <c r="F2">
        <v>2</v>
      </c>
      <c r="G2">
        <v>158.26</v>
      </c>
      <c r="H2">
        <v>0</v>
      </c>
      <c r="I2">
        <v>316.52</v>
      </c>
    </row>
    <row r="3" spans="1:9" x14ac:dyDescent="0.25">
      <c r="A3">
        <v>2</v>
      </c>
      <c r="B3" s="9">
        <v>45009</v>
      </c>
      <c r="C3">
        <v>3</v>
      </c>
      <c r="D3">
        <v>152</v>
      </c>
      <c r="E3">
        <v>24</v>
      </c>
      <c r="F3">
        <v>1</v>
      </c>
      <c r="G3">
        <v>91.73</v>
      </c>
      <c r="H3">
        <v>0.05</v>
      </c>
      <c r="I3">
        <v>87.14</v>
      </c>
    </row>
    <row r="4" spans="1:9" x14ac:dyDescent="0.25">
      <c r="A4">
        <v>3</v>
      </c>
      <c r="B4" s="9">
        <v>45890</v>
      </c>
      <c r="C4">
        <v>8</v>
      </c>
      <c r="D4">
        <v>77</v>
      </c>
      <c r="E4">
        <v>84</v>
      </c>
      <c r="F4">
        <v>1</v>
      </c>
      <c r="G4">
        <v>26.78</v>
      </c>
      <c r="H4">
        <v>0.1</v>
      </c>
      <c r="I4">
        <v>24.1</v>
      </c>
    </row>
    <row r="5" spans="1:9" x14ac:dyDescent="0.25">
      <c r="A5">
        <v>4</v>
      </c>
      <c r="B5" s="9">
        <v>45496</v>
      </c>
      <c r="C5">
        <v>3</v>
      </c>
      <c r="D5">
        <v>123</v>
      </c>
      <c r="E5">
        <v>97</v>
      </c>
      <c r="F5">
        <v>5</v>
      </c>
      <c r="G5">
        <v>158.26</v>
      </c>
      <c r="H5">
        <v>0</v>
      </c>
      <c r="I5">
        <v>791.3</v>
      </c>
    </row>
    <row r="6" spans="1:9" x14ac:dyDescent="0.25">
      <c r="A6">
        <v>5</v>
      </c>
      <c r="B6" s="9">
        <v>45819</v>
      </c>
      <c r="C6">
        <v>8</v>
      </c>
      <c r="D6">
        <v>106</v>
      </c>
      <c r="E6">
        <v>30</v>
      </c>
      <c r="F6">
        <v>3</v>
      </c>
      <c r="G6">
        <v>19.399999999999999</v>
      </c>
      <c r="H6">
        <v>0</v>
      </c>
      <c r="I6">
        <v>58.2</v>
      </c>
    </row>
    <row r="7" spans="1:9" x14ac:dyDescent="0.25">
      <c r="A7">
        <v>6</v>
      </c>
      <c r="B7" s="9">
        <v>45113</v>
      </c>
      <c r="C7">
        <v>8</v>
      </c>
      <c r="D7">
        <v>64</v>
      </c>
      <c r="E7">
        <v>33</v>
      </c>
      <c r="F7">
        <v>1</v>
      </c>
      <c r="G7">
        <v>21.23</v>
      </c>
      <c r="H7">
        <v>0.05</v>
      </c>
      <c r="I7">
        <v>20.170000000000002</v>
      </c>
    </row>
    <row r="8" spans="1:9" x14ac:dyDescent="0.25">
      <c r="A8">
        <v>7</v>
      </c>
      <c r="B8" s="9">
        <v>45639</v>
      </c>
      <c r="C8">
        <v>7</v>
      </c>
      <c r="D8">
        <v>22</v>
      </c>
      <c r="E8">
        <v>16</v>
      </c>
      <c r="F8">
        <v>1</v>
      </c>
      <c r="G8">
        <v>62.77</v>
      </c>
      <c r="H8">
        <v>0</v>
      </c>
      <c r="I8">
        <v>62.77</v>
      </c>
    </row>
    <row r="9" spans="1:9" x14ac:dyDescent="0.25">
      <c r="A9">
        <v>8</v>
      </c>
      <c r="B9" s="9">
        <v>45609</v>
      </c>
      <c r="C9">
        <v>6</v>
      </c>
      <c r="D9">
        <v>89</v>
      </c>
      <c r="E9">
        <v>59</v>
      </c>
      <c r="F9">
        <v>1</v>
      </c>
      <c r="G9">
        <v>17.41</v>
      </c>
      <c r="H9">
        <v>0</v>
      </c>
      <c r="I9">
        <v>17.41</v>
      </c>
    </row>
    <row r="10" spans="1:9" x14ac:dyDescent="0.25">
      <c r="A10">
        <v>9</v>
      </c>
      <c r="B10" s="9">
        <v>45141</v>
      </c>
      <c r="C10">
        <v>3</v>
      </c>
      <c r="D10">
        <v>50</v>
      </c>
      <c r="E10">
        <v>30</v>
      </c>
      <c r="F10">
        <v>1</v>
      </c>
      <c r="G10">
        <v>19.399999999999999</v>
      </c>
      <c r="H10">
        <v>0</v>
      </c>
      <c r="I10">
        <v>19.399999999999999</v>
      </c>
    </row>
    <row r="11" spans="1:9" x14ac:dyDescent="0.25">
      <c r="A11">
        <v>10</v>
      </c>
      <c r="B11" s="9">
        <v>45602</v>
      </c>
      <c r="C11">
        <v>7</v>
      </c>
      <c r="D11">
        <v>207</v>
      </c>
      <c r="E11">
        <v>96</v>
      </c>
      <c r="F11">
        <v>1</v>
      </c>
      <c r="G11">
        <v>132.69</v>
      </c>
      <c r="H11">
        <v>0</v>
      </c>
      <c r="I11">
        <v>132.69</v>
      </c>
    </row>
    <row r="12" spans="1:9" x14ac:dyDescent="0.25">
      <c r="A12">
        <v>11</v>
      </c>
      <c r="B12" s="9">
        <v>45941</v>
      </c>
      <c r="C12">
        <v>5</v>
      </c>
      <c r="D12">
        <v>80</v>
      </c>
      <c r="E12">
        <v>48</v>
      </c>
      <c r="F12">
        <v>1</v>
      </c>
      <c r="G12">
        <v>146.85</v>
      </c>
      <c r="H12">
        <v>0</v>
      </c>
      <c r="I12">
        <v>146.85</v>
      </c>
    </row>
    <row r="13" spans="1:9" x14ac:dyDescent="0.25">
      <c r="A13">
        <v>12</v>
      </c>
      <c r="B13" s="9">
        <v>45747</v>
      </c>
      <c r="C13">
        <v>1</v>
      </c>
      <c r="D13">
        <v>45</v>
      </c>
      <c r="E13">
        <v>19</v>
      </c>
      <c r="F13">
        <v>1</v>
      </c>
      <c r="G13">
        <v>138.31</v>
      </c>
      <c r="H13">
        <v>0</v>
      </c>
      <c r="I13">
        <v>138.31</v>
      </c>
    </row>
    <row r="14" spans="1:9" x14ac:dyDescent="0.25">
      <c r="A14">
        <v>13</v>
      </c>
      <c r="B14" s="9">
        <v>45858</v>
      </c>
      <c r="C14">
        <v>2</v>
      </c>
      <c r="D14">
        <v>177</v>
      </c>
      <c r="E14">
        <v>26</v>
      </c>
      <c r="F14">
        <v>2</v>
      </c>
      <c r="G14">
        <v>211.87</v>
      </c>
      <c r="H14">
        <v>0.1</v>
      </c>
      <c r="I14">
        <v>381.37</v>
      </c>
    </row>
    <row r="15" spans="1:9" x14ac:dyDescent="0.25">
      <c r="A15">
        <v>14</v>
      </c>
      <c r="B15" s="9">
        <v>45571</v>
      </c>
      <c r="C15">
        <v>5</v>
      </c>
      <c r="D15">
        <v>172</v>
      </c>
      <c r="E15">
        <v>66</v>
      </c>
      <c r="F15">
        <v>2</v>
      </c>
      <c r="G15">
        <v>169.57</v>
      </c>
      <c r="H15">
        <v>0.1</v>
      </c>
      <c r="I15">
        <v>305.23</v>
      </c>
    </row>
    <row r="16" spans="1:9" x14ac:dyDescent="0.25">
      <c r="A16">
        <v>15</v>
      </c>
      <c r="B16" s="9">
        <v>45589</v>
      </c>
      <c r="C16">
        <v>2</v>
      </c>
      <c r="D16">
        <v>152</v>
      </c>
      <c r="E16">
        <v>26</v>
      </c>
      <c r="F16">
        <v>1</v>
      </c>
      <c r="G16">
        <v>211.87</v>
      </c>
      <c r="H16">
        <v>0</v>
      </c>
      <c r="I16">
        <v>211.87</v>
      </c>
    </row>
    <row r="17" spans="1:9" x14ac:dyDescent="0.25">
      <c r="A17">
        <v>16</v>
      </c>
      <c r="B17" s="9">
        <v>45754</v>
      </c>
      <c r="C17">
        <v>1</v>
      </c>
      <c r="D17">
        <v>203</v>
      </c>
      <c r="E17">
        <v>26</v>
      </c>
      <c r="F17">
        <v>1</v>
      </c>
      <c r="G17">
        <v>211.87</v>
      </c>
      <c r="H17">
        <v>0</v>
      </c>
      <c r="I17">
        <v>211.87</v>
      </c>
    </row>
    <row r="18" spans="1:9" x14ac:dyDescent="0.25">
      <c r="A18">
        <v>17</v>
      </c>
      <c r="B18" s="9">
        <v>45873</v>
      </c>
      <c r="C18">
        <v>7</v>
      </c>
      <c r="D18">
        <v>40</v>
      </c>
      <c r="E18">
        <v>26</v>
      </c>
      <c r="F18">
        <v>1</v>
      </c>
      <c r="G18">
        <v>211.87</v>
      </c>
      <c r="H18">
        <v>0.05</v>
      </c>
      <c r="I18">
        <v>201.28</v>
      </c>
    </row>
    <row r="19" spans="1:9" x14ac:dyDescent="0.25">
      <c r="A19">
        <v>18</v>
      </c>
      <c r="B19" s="9">
        <v>45038</v>
      </c>
      <c r="C19">
        <v>4</v>
      </c>
      <c r="D19">
        <v>3</v>
      </c>
      <c r="E19">
        <v>47</v>
      </c>
      <c r="F19">
        <v>1</v>
      </c>
      <c r="G19">
        <v>93.41</v>
      </c>
      <c r="H19">
        <v>0</v>
      </c>
      <c r="I19">
        <v>93.41</v>
      </c>
    </row>
    <row r="20" spans="1:9" x14ac:dyDescent="0.25">
      <c r="A20">
        <v>19</v>
      </c>
      <c r="B20" s="9">
        <v>45667</v>
      </c>
      <c r="C20">
        <v>8</v>
      </c>
      <c r="D20">
        <v>32</v>
      </c>
      <c r="E20">
        <v>81</v>
      </c>
      <c r="F20">
        <v>1</v>
      </c>
      <c r="G20">
        <v>225.3</v>
      </c>
      <c r="H20">
        <v>0.1</v>
      </c>
      <c r="I20">
        <v>202.77</v>
      </c>
    </row>
    <row r="21" spans="1:9" x14ac:dyDescent="0.25">
      <c r="A21">
        <v>20</v>
      </c>
      <c r="B21" s="9">
        <v>45832</v>
      </c>
      <c r="C21">
        <v>1</v>
      </c>
      <c r="D21">
        <v>60</v>
      </c>
      <c r="E21">
        <v>71</v>
      </c>
      <c r="F21">
        <v>1</v>
      </c>
      <c r="G21">
        <v>225.61</v>
      </c>
      <c r="H21">
        <v>0</v>
      </c>
      <c r="I21">
        <v>225.61</v>
      </c>
    </row>
    <row r="22" spans="1:9" x14ac:dyDescent="0.25">
      <c r="A22">
        <v>21</v>
      </c>
      <c r="B22" s="9">
        <v>45343</v>
      </c>
      <c r="C22">
        <v>5</v>
      </c>
      <c r="D22">
        <v>144</v>
      </c>
      <c r="E22">
        <v>58</v>
      </c>
      <c r="F22">
        <v>1</v>
      </c>
      <c r="G22">
        <v>64.400000000000006</v>
      </c>
      <c r="H22">
        <v>0.1</v>
      </c>
      <c r="I22">
        <v>57.96</v>
      </c>
    </row>
    <row r="23" spans="1:9" x14ac:dyDescent="0.25">
      <c r="A23">
        <v>22</v>
      </c>
      <c r="B23" s="9">
        <v>45195</v>
      </c>
      <c r="C23">
        <v>5</v>
      </c>
      <c r="D23">
        <v>21</v>
      </c>
      <c r="E23">
        <v>61</v>
      </c>
      <c r="F23">
        <v>1</v>
      </c>
      <c r="G23">
        <v>106.64</v>
      </c>
      <c r="H23">
        <v>0.05</v>
      </c>
      <c r="I23">
        <v>101.31</v>
      </c>
    </row>
    <row r="24" spans="1:9" x14ac:dyDescent="0.25">
      <c r="A24">
        <v>23</v>
      </c>
      <c r="B24" s="9">
        <v>45824</v>
      </c>
      <c r="C24">
        <v>8</v>
      </c>
      <c r="D24">
        <v>154</v>
      </c>
      <c r="E24">
        <v>25</v>
      </c>
      <c r="F24">
        <v>1</v>
      </c>
      <c r="G24">
        <v>117.41</v>
      </c>
      <c r="H24">
        <v>0</v>
      </c>
      <c r="I24">
        <v>117.41</v>
      </c>
    </row>
    <row r="25" spans="1:9" x14ac:dyDescent="0.25">
      <c r="A25">
        <v>24</v>
      </c>
      <c r="B25" s="9">
        <v>45175</v>
      </c>
      <c r="C25">
        <v>1</v>
      </c>
      <c r="D25">
        <v>19</v>
      </c>
      <c r="E25">
        <v>31</v>
      </c>
      <c r="F25">
        <v>1</v>
      </c>
      <c r="G25">
        <v>165.45</v>
      </c>
      <c r="H25">
        <v>0.05</v>
      </c>
      <c r="I25">
        <v>157.18</v>
      </c>
    </row>
    <row r="26" spans="1:9" x14ac:dyDescent="0.25">
      <c r="A26">
        <v>25</v>
      </c>
      <c r="B26" s="9">
        <v>45417</v>
      </c>
      <c r="C26">
        <v>3</v>
      </c>
      <c r="D26">
        <v>90</v>
      </c>
      <c r="E26">
        <v>17</v>
      </c>
      <c r="F26">
        <v>1</v>
      </c>
      <c r="G26">
        <v>97.14</v>
      </c>
      <c r="H26">
        <v>0.05</v>
      </c>
      <c r="I26">
        <v>92.28</v>
      </c>
    </row>
    <row r="27" spans="1:9" x14ac:dyDescent="0.25">
      <c r="A27">
        <v>26</v>
      </c>
      <c r="B27" s="9">
        <v>45563</v>
      </c>
      <c r="C27">
        <v>1</v>
      </c>
      <c r="D27">
        <v>179</v>
      </c>
      <c r="E27">
        <v>74</v>
      </c>
      <c r="F27">
        <v>1</v>
      </c>
      <c r="G27">
        <v>205.01</v>
      </c>
      <c r="H27">
        <v>0</v>
      </c>
      <c r="I27">
        <v>205.01</v>
      </c>
    </row>
    <row r="28" spans="1:9" x14ac:dyDescent="0.25">
      <c r="A28">
        <v>27</v>
      </c>
      <c r="B28" s="9">
        <v>45762</v>
      </c>
      <c r="C28">
        <v>2</v>
      </c>
      <c r="D28">
        <v>201</v>
      </c>
      <c r="E28">
        <v>57</v>
      </c>
      <c r="F28">
        <v>3</v>
      </c>
      <c r="G28">
        <v>32.28</v>
      </c>
      <c r="H28">
        <v>0.15</v>
      </c>
      <c r="I28">
        <v>82.31</v>
      </c>
    </row>
    <row r="29" spans="1:9" x14ac:dyDescent="0.25">
      <c r="A29">
        <v>28</v>
      </c>
      <c r="B29" s="9">
        <v>45387</v>
      </c>
      <c r="C29">
        <v>2</v>
      </c>
      <c r="D29">
        <v>112</v>
      </c>
      <c r="E29">
        <v>95</v>
      </c>
      <c r="F29">
        <v>2</v>
      </c>
      <c r="G29">
        <v>201.94</v>
      </c>
      <c r="H29">
        <v>0</v>
      </c>
      <c r="I29">
        <v>403.88</v>
      </c>
    </row>
    <row r="30" spans="1:9" x14ac:dyDescent="0.25">
      <c r="A30">
        <v>29</v>
      </c>
      <c r="B30" s="9">
        <v>45872</v>
      </c>
      <c r="C30">
        <v>2</v>
      </c>
      <c r="D30">
        <v>76</v>
      </c>
      <c r="E30">
        <v>95</v>
      </c>
      <c r="F30">
        <v>1</v>
      </c>
      <c r="G30">
        <v>201.94</v>
      </c>
      <c r="H30">
        <v>0</v>
      </c>
      <c r="I30">
        <v>201.94</v>
      </c>
    </row>
    <row r="31" spans="1:9" x14ac:dyDescent="0.25">
      <c r="A31">
        <v>30</v>
      </c>
      <c r="B31" s="9">
        <v>45242</v>
      </c>
      <c r="C31">
        <v>8</v>
      </c>
      <c r="D31">
        <v>108</v>
      </c>
      <c r="E31">
        <v>57</v>
      </c>
      <c r="F31">
        <v>1</v>
      </c>
      <c r="G31">
        <v>32.28</v>
      </c>
      <c r="H31">
        <v>0.1</v>
      </c>
      <c r="I31">
        <v>29.05</v>
      </c>
    </row>
    <row r="32" spans="1:9" x14ac:dyDescent="0.25">
      <c r="A32">
        <v>31</v>
      </c>
      <c r="B32" s="9">
        <v>45524</v>
      </c>
      <c r="C32">
        <v>5</v>
      </c>
      <c r="D32">
        <v>160</v>
      </c>
      <c r="E32">
        <v>43</v>
      </c>
      <c r="F32">
        <v>1</v>
      </c>
      <c r="G32">
        <v>16.04</v>
      </c>
      <c r="H32">
        <v>0.2</v>
      </c>
      <c r="I32">
        <v>12.83</v>
      </c>
    </row>
    <row r="33" spans="1:9" x14ac:dyDescent="0.25">
      <c r="A33">
        <v>32</v>
      </c>
      <c r="B33" s="9">
        <v>45777</v>
      </c>
      <c r="C33">
        <v>8</v>
      </c>
      <c r="D33">
        <v>208</v>
      </c>
      <c r="E33">
        <v>72</v>
      </c>
      <c r="F33">
        <v>2</v>
      </c>
      <c r="G33">
        <v>50.75</v>
      </c>
      <c r="H33">
        <v>0</v>
      </c>
      <c r="I33">
        <v>101.5</v>
      </c>
    </row>
    <row r="34" spans="1:9" x14ac:dyDescent="0.25">
      <c r="A34">
        <v>33</v>
      </c>
      <c r="B34" s="9">
        <v>45894</v>
      </c>
      <c r="C34">
        <v>4</v>
      </c>
      <c r="D34">
        <v>220</v>
      </c>
      <c r="E34">
        <v>6</v>
      </c>
      <c r="F34">
        <v>1</v>
      </c>
      <c r="G34">
        <v>44.63</v>
      </c>
      <c r="H34">
        <v>0.05</v>
      </c>
      <c r="I34">
        <v>42.4</v>
      </c>
    </row>
    <row r="35" spans="1:9" x14ac:dyDescent="0.25">
      <c r="A35">
        <v>34</v>
      </c>
      <c r="B35" s="9">
        <v>45862</v>
      </c>
      <c r="C35">
        <v>3</v>
      </c>
      <c r="D35">
        <v>118</v>
      </c>
      <c r="E35">
        <v>33</v>
      </c>
      <c r="F35">
        <v>1</v>
      </c>
      <c r="G35">
        <v>21.23</v>
      </c>
      <c r="H35">
        <v>0.1</v>
      </c>
      <c r="I35">
        <v>19.11</v>
      </c>
    </row>
    <row r="36" spans="1:9" x14ac:dyDescent="0.25">
      <c r="A36">
        <v>35</v>
      </c>
      <c r="B36" s="9">
        <v>45712</v>
      </c>
      <c r="C36">
        <v>4</v>
      </c>
      <c r="D36">
        <v>211</v>
      </c>
      <c r="E36">
        <v>98</v>
      </c>
      <c r="F36">
        <v>1</v>
      </c>
      <c r="G36">
        <v>136.97</v>
      </c>
      <c r="H36">
        <v>0.05</v>
      </c>
      <c r="I36">
        <v>130.12</v>
      </c>
    </row>
    <row r="37" spans="1:9" x14ac:dyDescent="0.25">
      <c r="A37">
        <v>36</v>
      </c>
      <c r="B37" s="9">
        <v>45967</v>
      </c>
      <c r="C37">
        <v>3</v>
      </c>
      <c r="D37">
        <v>187</v>
      </c>
      <c r="E37">
        <v>52</v>
      </c>
      <c r="F37">
        <v>2</v>
      </c>
      <c r="G37">
        <v>196.75</v>
      </c>
      <c r="H37">
        <v>0</v>
      </c>
      <c r="I37">
        <v>393.5</v>
      </c>
    </row>
    <row r="38" spans="1:9" x14ac:dyDescent="0.25">
      <c r="A38">
        <v>37</v>
      </c>
      <c r="B38" s="9">
        <v>45069</v>
      </c>
      <c r="C38">
        <v>5</v>
      </c>
      <c r="D38">
        <v>96</v>
      </c>
      <c r="E38">
        <v>89</v>
      </c>
      <c r="F38">
        <v>1</v>
      </c>
      <c r="G38">
        <v>247.43</v>
      </c>
      <c r="H38">
        <v>0</v>
      </c>
      <c r="I38">
        <v>247.43</v>
      </c>
    </row>
    <row r="39" spans="1:9" x14ac:dyDescent="0.25">
      <c r="A39">
        <v>38</v>
      </c>
      <c r="B39" s="9">
        <v>45776</v>
      </c>
      <c r="C39">
        <v>6</v>
      </c>
      <c r="D39">
        <v>93</v>
      </c>
      <c r="E39">
        <v>9</v>
      </c>
      <c r="F39">
        <v>1</v>
      </c>
      <c r="G39">
        <v>152.78</v>
      </c>
      <c r="H39">
        <v>0</v>
      </c>
      <c r="I39">
        <v>152.78</v>
      </c>
    </row>
    <row r="40" spans="1:9" x14ac:dyDescent="0.25">
      <c r="A40">
        <v>39</v>
      </c>
      <c r="B40" s="9">
        <v>45966</v>
      </c>
      <c r="C40">
        <v>5</v>
      </c>
      <c r="D40">
        <v>110</v>
      </c>
      <c r="E40">
        <v>94</v>
      </c>
      <c r="F40">
        <v>1</v>
      </c>
      <c r="G40">
        <v>163.66</v>
      </c>
      <c r="H40">
        <v>0</v>
      </c>
      <c r="I40">
        <v>163.66</v>
      </c>
    </row>
    <row r="41" spans="1:9" x14ac:dyDescent="0.25">
      <c r="A41">
        <v>40</v>
      </c>
      <c r="B41" s="9">
        <v>44932</v>
      </c>
      <c r="C41">
        <v>5</v>
      </c>
      <c r="D41">
        <v>39</v>
      </c>
      <c r="E41">
        <v>25</v>
      </c>
      <c r="F41">
        <v>1</v>
      </c>
      <c r="G41">
        <v>117.41</v>
      </c>
      <c r="H41">
        <v>0</v>
      </c>
      <c r="I41">
        <v>117.41</v>
      </c>
    </row>
    <row r="42" spans="1:9" x14ac:dyDescent="0.25">
      <c r="A42">
        <v>41</v>
      </c>
      <c r="B42" s="9">
        <v>45538</v>
      </c>
      <c r="C42">
        <v>8</v>
      </c>
      <c r="D42">
        <v>154</v>
      </c>
      <c r="E42">
        <v>44</v>
      </c>
      <c r="F42">
        <v>1</v>
      </c>
      <c r="G42">
        <v>235.19</v>
      </c>
      <c r="H42">
        <v>0</v>
      </c>
      <c r="I42">
        <v>235.19</v>
      </c>
    </row>
    <row r="43" spans="1:9" x14ac:dyDescent="0.25">
      <c r="A43">
        <v>42</v>
      </c>
      <c r="B43" s="9">
        <v>45231</v>
      </c>
      <c r="C43">
        <v>8</v>
      </c>
      <c r="D43">
        <v>143</v>
      </c>
      <c r="E43">
        <v>25</v>
      </c>
      <c r="F43">
        <v>1</v>
      </c>
      <c r="G43">
        <v>117.41</v>
      </c>
      <c r="H43">
        <v>0.05</v>
      </c>
      <c r="I43">
        <v>111.54</v>
      </c>
    </row>
    <row r="44" spans="1:9" x14ac:dyDescent="0.25">
      <c r="A44">
        <v>43</v>
      </c>
      <c r="B44" s="9">
        <v>45918</v>
      </c>
      <c r="C44">
        <v>6</v>
      </c>
      <c r="D44">
        <v>177</v>
      </c>
      <c r="E44">
        <v>60</v>
      </c>
      <c r="F44">
        <v>1</v>
      </c>
      <c r="G44">
        <v>101.29</v>
      </c>
      <c r="H44">
        <v>0.05</v>
      </c>
      <c r="I44">
        <v>96.23</v>
      </c>
    </row>
    <row r="45" spans="1:9" x14ac:dyDescent="0.25">
      <c r="A45">
        <v>44</v>
      </c>
      <c r="B45" s="9">
        <v>45607</v>
      </c>
      <c r="C45">
        <v>7</v>
      </c>
      <c r="D45">
        <v>37</v>
      </c>
      <c r="E45">
        <v>93</v>
      </c>
      <c r="F45">
        <v>1</v>
      </c>
      <c r="G45">
        <v>239.23</v>
      </c>
      <c r="H45">
        <v>0</v>
      </c>
      <c r="I45">
        <v>239.23</v>
      </c>
    </row>
    <row r="46" spans="1:9" x14ac:dyDescent="0.25">
      <c r="A46">
        <v>45</v>
      </c>
      <c r="B46" s="9">
        <v>45859</v>
      </c>
      <c r="C46">
        <v>6</v>
      </c>
      <c r="D46">
        <v>125</v>
      </c>
      <c r="E46">
        <v>69</v>
      </c>
      <c r="F46">
        <v>1</v>
      </c>
      <c r="G46">
        <v>22.86</v>
      </c>
      <c r="H46">
        <v>0.15</v>
      </c>
      <c r="I46">
        <v>19.43</v>
      </c>
    </row>
    <row r="47" spans="1:9" x14ac:dyDescent="0.25">
      <c r="A47">
        <v>46</v>
      </c>
      <c r="B47" s="9">
        <v>45313</v>
      </c>
      <c r="C47">
        <v>4</v>
      </c>
      <c r="D47">
        <v>94</v>
      </c>
      <c r="E47">
        <v>62</v>
      </c>
      <c r="F47">
        <v>1</v>
      </c>
      <c r="G47">
        <v>82.81</v>
      </c>
      <c r="H47">
        <v>0</v>
      </c>
      <c r="I47">
        <v>82.81</v>
      </c>
    </row>
    <row r="48" spans="1:9" x14ac:dyDescent="0.25">
      <c r="A48">
        <v>47</v>
      </c>
      <c r="B48" s="9">
        <v>45711</v>
      </c>
      <c r="C48">
        <v>4</v>
      </c>
      <c r="D48">
        <v>149</v>
      </c>
      <c r="E48">
        <v>80</v>
      </c>
      <c r="F48">
        <v>1</v>
      </c>
      <c r="G48">
        <v>33.380000000000003</v>
      </c>
      <c r="H48">
        <v>0</v>
      </c>
      <c r="I48">
        <v>33.380000000000003</v>
      </c>
    </row>
    <row r="49" spans="1:9" x14ac:dyDescent="0.25">
      <c r="A49">
        <v>48</v>
      </c>
      <c r="B49" s="9">
        <v>45768</v>
      </c>
      <c r="C49">
        <v>1</v>
      </c>
      <c r="D49">
        <v>218</v>
      </c>
      <c r="E49">
        <v>86</v>
      </c>
      <c r="F49">
        <v>1</v>
      </c>
      <c r="G49">
        <v>99.19</v>
      </c>
      <c r="H49">
        <v>0.15</v>
      </c>
      <c r="I49">
        <v>84.31</v>
      </c>
    </row>
    <row r="50" spans="1:9" x14ac:dyDescent="0.25">
      <c r="A50">
        <v>49</v>
      </c>
      <c r="B50" s="9">
        <v>45578</v>
      </c>
      <c r="C50">
        <v>8</v>
      </c>
      <c r="D50">
        <v>83</v>
      </c>
      <c r="E50">
        <v>72</v>
      </c>
      <c r="F50">
        <v>1</v>
      </c>
      <c r="G50">
        <v>50.75</v>
      </c>
      <c r="H50">
        <v>0</v>
      </c>
      <c r="I50">
        <v>50.75</v>
      </c>
    </row>
    <row r="51" spans="1:9" x14ac:dyDescent="0.25">
      <c r="A51">
        <v>50</v>
      </c>
      <c r="B51" s="9">
        <v>45707</v>
      </c>
      <c r="C51">
        <v>7</v>
      </c>
      <c r="D51">
        <v>193</v>
      </c>
      <c r="E51">
        <v>83</v>
      </c>
      <c r="F51">
        <v>1</v>
      </c>
      <c r="G51">
        <v>109.16</v>
      </c>
      <c r="H51">
        <v>0</v>
      </c>
      <c r="I51">
        <v>109.16</v>
      </c>
    </row>
    <row r="52" spans="1:9" x14ac:dyDescent="0.25">
      <c r="A52">
        <v>51</v>
      </c>
      <c r="B52" s="9">
        <v>45238</v>
      </c>
      <c r="C52">
        <v>8</v>
      </c>
      <c r="D52">
        <v>127</v>
      </c>
      <c r="E52">
        <v>5</v>
      </c>
      <c r="F52">
        <v>1</v>
      </c>
      <c r="G52">
        <v>55.26</v>
      </c>
      <c r="H52">
        <v>0</v>
      </c>
      <c r="I52">
        <v>55.26</v>
      </c>
    </row>
    <row r="53" spans="1:9" x14ac:dyDescent="0.25">
      <c r="A53">
        <v>52</v>
      </c>
      <c r="B53" s="9">
        <v>45002</v>
      </c>
      <c r="C53">
        <v>3</v>
      </c>
      <c r="D53">
        <v>217</v>
      </c>
      <c r="E53">
        <v>71</v>
      </c>
      <c r="F53">
        <v>1</v>
      </c>
      <c r="G53">
        <v>225.61</v>
      </c>
      <c r="H53">
        <v>0</v>
      </c>
      <c r="I53">
        <v>225.61</v>
      </c>
    </row>
    <row r="54" spans="1:9" x14ac:dyDescent="0.25">
      <c r="A54">
        <v>53</v>
      </c>
      <c r="B54" s="9">
        <v>45955</v>
      </c>
      <c r="C54">
        <v>6</v>
      </c>
      <c r="D54">
        <v>195</v>
      </c>
      <c r="E54">
        <v>4</v>
      </c>
      <c r="F54">
        <v>1</v>
      </c>
      <c r="G54">
        <v>168</v>
      </c>
      <c r="H54">
        <v>0</v>
      </c>
      <c r="I54">
        <v>168</v>
      </c>
    </row>
    <row r="55" spans="1:9" x14ac:dyDescent="0.25">
      <c r="A55">
        <v>54</v>
      </c>
      <c r="B55" s="9">
        <v>45132</v>
      </c>
      <c r="C55">
        <v>8</v>
      </c>
      <c r="D55">
        <v>17</v>
      </c>
      <c r="E55">
        <v>50</v>
      </c>
      <c r="F55">
        <v>1</v>
      </c>
      <c r="G55">
        <v>52.54</v>
      </c>
      <c r="H55">
        <v>0</v>
      </c>
      <c r="I55">
        <v>52.54</v>
      </c>
    </row>
    <row r="56" spans="1:9" x14ac:dyDescent="0.25">
      <c r="A56">
        <v>55</v>
      </c>
      <c r="B56" s="9">
        <v>45131</v>
      </c>
      <c r="C56">
        <v>8</v>
      </c>
      <c r="D56">
        <v>200</v>
      </c>
      <c r="E56">
        <v>64</v>
      </c>
      <c r="F56">
        <v>1</v>
      </c>
      <c r="G56">
        <v>103.65</v>
      </c>
      <c r="H56">
        <v>0</v>
      </c>
      <c r="I56">
        <v>103.65</v>
      </c>
    </row>
    <row r="57" spans="1:9" x14ac:dyDescent="0.25">
      <c r="A57">
        <v>56</v>
      </c>
      <c r="B57" s="9">
        <v>44958</v>
      </c>
      <c r="C57">
        <v>3</v>
      </c>
      <c r="D57">
        <v>139</v>
      </c>
      <c r="E57">
        <v>44</v>
      </c>
      <c r="F57">
        <v>1</v>
      </c>
      <c r="G57">
        <v>235.19</v>
      </c>
      <c r="H57">
        <v>0.1</v>
      </c>
      <c r="I57">
        <v>211.67</v>
      </c>
    </row>
    <row r="58" spans="1:9" x14ac:dyDescent="0.25">
      <c r="A58">
        <v>57</v>
      </c>
      <c r="B58" s="9">
        <v>45766</v>
      </c>
      <c r="C58">
        <v>3</v>
      </c>
      <c r="D58">
        <v>190</v>
      </c>
      <c r="E58">
        <v>47</v>
      </c>
      <c r="F58">
        <v>1</v>
      </c>
      <c r="G58">
        <v>93.41</v>
      </c>
      <c r="H58">
        <v>0</v>
      </c>
      <c r="I58">
        <v>93.41</v>
      </c>
    </row>
    <row r="59" spans="1:9" x14ac:dyDescent="0.25">
      <c r="A59">
        <v>58</v>
      </c>
      <c r="B59" s="9">
        <v>45080</v>
      </c>
      <c r="C59">
        <v>8</v>
      </c>
      <c r="D59">
        <v>87</v>
      </c>
      <c r="E59">
        <v>29</v>
      </c>
      <c r="F59">
        <v>1</v>
      </c>
      <c r="G59">
        <v>138.6</v>
      </c>
      <c r="H59">
        <v>0</v>
      </c>
      <c r="I59">
        <v>138.6</v>
      </c>
    </row>
    <row r="60" spans="1:9" x14ac:dyDescent="0.25">
      <c r="A60">
        <v>59</v>
      </c>
      <c r="B60" s="9">
        <v>45469</v>
      </c>
      <c r="C60">
        <v>6</v>
      </c>
      <c r="D60">
        <v>106</v>
      </c>
      <c r="E60">
        <v>94</v>
      </c>
      <c r="F60">
        <v>1</v>
      </c>
      <c r="G60">
        <v>163.66</v>
      </c>
      <c r="H60">
        <v>0</v>
      </c>
      <c r="I60">
        <v>163.66</v>
      </c>
    </row>
    <row r="61" spans="1:9" x14ac:dyDescent="0.25">
      <c r="A61">
        <v>60</v>
      </c>
      <c r="B61" s="9">
        <v>45741</v>
      </c>
      <c r="C61">
        <v>2</v>
      </c>
      <c r="D61">
        <v>132</v>
      </c>
      <c r="E61">
        <v>6</v>
      </c>
      <c r="F61">
        <v>2</v>
      </c>
      <c r="G61">
        <v>44.63</v>
      </c>
      <c r="H61">
        <v>0</v>
      </c>
      <c r="I61">
        <v>89.26</v>
      </c>
    </row>
    <row r="62" spans="1:9" x14ac:dyDescent="0.25">
      <c r="A62">
        <v>61</v>
      </c>
      <c r="B62" s="9">
        <v>45599</v>
      </c>
      <c r="C62">
        <v>7</v>
      </c>
      <c r="D62">
        <v>43</v>
      </c>
      <c r="E62">
        <v>72</v>
      </c>
      <c r="F62">
        <v>1</v>
      </c>
      <c r="G62">
        <v>50.75</v>
      </c>
      <c r="H62">
        <v>0.05</v>
      </c>
      <c r="I62">
        <v>48.21</v>
      </c>
    </row>
    <row r="63" spans="1:9" x14ac:dyDescent="0.25">
      <c r="A63">
        <v>62</v>
      </c>
      <c r="B63" s="9">
        <v>45575</v>
      </c>
      <c r="C63">
        <v>8</v>
      </c>
      <c r="D63">
        <v>47</v>
      </c>
      <c r="E63">
        <v>1</v>
      </c>
      <c r="F63">
        <v>1</v>
      </c>
      <c r="G63">
        <v>90.53</v>
      </c>
      <c r="H63">
        <v>0</v>
      </c>
      <c r="I63">
        <v>90.53</v>
      </c>
    </row>
    <row r="64" spans="1:9" x14ac:dyDescent="0.25">
      <c r="A64">
        <v>63</v>
      </c>
      <c r="B64" s="9">
        <v>45000</v>
      </c>
      <c r="C64">
        <v>2</v>
      </c>
      <c r="D64">
        <v>165</v>
      </c>
      <c r="E64">
        <v>70</v>
      </c>
      <c r="F64">
        <v>1</v>
      </c>
      <c r="G64">
        <v>280.36</v>
      </c>
      <c r="H64">
        <v>0</v>
      </c>
      <c r="I64">
        <v>280.36</v>
      </c>
    </row>
    <row r="65" spans="1:9" x14ac:dyDescent="0.25">
      <c r="A65">
        <v>64</v>
      </c>
      <c r="B65" s="9">
        <v>45407</v>
      </c>
      <c r="C65">
        <v>5</v>
      </c>
      <c r="D65">
        <v>101</v>
      </c>
      <c r="E65">
        <v>73</v>
      </c>
      <c r="F65">
        <v>1</v>
      </c>
      <c r="G65">
        <v>8.39</v>
      </c>
      <c r="H65">
        <v>0</v>
      </c>
      <c r="I65">
        <v>8.39</v>
      </c>
    </row>
    <row r="66" spans="1:9" x14ac:dyDescent="0.25">
      <c r="A66">
        <v>65</v>
      </c>
      <c r="B66" s="9">
        <v>45392</v>
      </c>
      <c r="C66">
        <v>2</v>
      </c>
      <c r="D66">
        <v>103</v>
      </c>
      <c r="E66">
        <v>57</v>
      </c>
      <c r="F66">
        <v>4</v>
      </c>
      <c r="G66">
        <v>32.28</v>
      </c>
      <c r="H66">
        <v>0</v>
      </c>
      <c r="I66">
        <v>129.12</v>
      </c>
    </row>
    <row r="67" spans="1:9" x14ac:dyDescent="0.25">
      <c r="A67">
        <v>66</v>
      </c>
      <c r="B67" s="9">
        <v>45815</v>
      </c>
      <c r="C67">
        <v>2</v>
      </c>
      <c r="D67">
        <v>27</v>
      </c>
      <c r="E67">
        <v>30</v>
      </c>
      <c r="F67">
        <v>1</v>
      </c>
      <c r="G67">
        <v>19.399999999999999</v>
      </c>
      <c r="H67">
        <v>0</v>
      </c>
      <c r="I67">
        <v>19.399999999999999</v>
      </c>
    </row>
    <row r="68" spans="1:9" x14ac:dyDescent="0.25">
      <c r="A68">
        <v>67</v>
      </c>
      <c r="B68" s="9">
        <v>45132</v>
      </c>
      <c r="C68">
        <v>8</v>
      </c>
      <c r="D68">
        <v>24</v>
      </c>
      <c r="E68">
        <v>7</v>
      </c>
      <c r="F68">
        <v>1</v>
      </c>
      <c r="G68">
        <v>21.72</v>
      </c>
      <c r="H68">
        <v>0.1</v>
      </c>
      <c r="I68">
        <v>19.55</v>
      </c>
    </row>
    <row r="69" spans="1:9" x14ac:dyDescent="0.25">
      <c r="A69">
        <v>68</v>
      </c>
      <c r="B69" s="9">
        <v>45267</v>
      </c>
      <c r="C69">
        <v>5</v>
      </c>
      <c r="D69">
        <v>15</v>
      </c>
      <c r="E69">
        <v>79</v>
      </c>
      <c r="F69">
        <v>1</v>
      </c>
      <c r="G69">
        <v>117.59</v>
      </c>
      <c r="H69">
        <v>0.1</v>
      </c>
      <c r="I69">
        <v>105.83</v>
      </c>
    </row>
    <row r="70" spans="1:9" x14ac:dyDescent="0.25">
      <c r="A70">
        <v>69</v>
      </c>
      <c r="B70" s="9">
        <v>44986</v>
      </c>
      <c r="C70">
        <v>1</v>
      </c>
      <c r="D70">
        <v>95</v>
      </c>
      <c r="E70">
        <v>98</v>
      </c>
      <c r="F70">
        <v>1</v>
      </c>
      <c r="G70">
        <v>136.97</v>
      </c>
      <c r="H70">
        <v>0.05</v>
      </c>
      <c r="I70">
        <v>130.12</v>
      </c>
    </row>
    <row r="71" spans="1:9" x14ac:dyDescent="0.25">
      <c r="A71">
        <v>70</v>
      </c>
      <c r="B71" s="9">
        <v>45591</v>
      </c>
      <c r="C71">
        <v>1</v>
      </c>
      <c r="D71">
        <v>78</v>
      </c>
      <c r="E71">
        <v>29</v>
      </c>
      <c r="F71">
        <v>2</v>
      </c>
      <c r="G71">
        <v>138.6</v>
      </c>
      <c r="H71">
        <v>0.05</v>
      </c>
      <c r="I71">
        <v>263.33999999999997</v>
      </c>
    </row>
    <row r="72" spans="1:9" x14ac:dyDescent="0.25">
      <c r="A72">
        <v>71</v>
      </c>
      <c r="B72" s="9">
        <v>45527</v>
      </c>
      <c r="C72">
        <v>6</v>
      </c>
      <c r="D72">
        <v>119</v>
      </c>
      <c r="E72">
        <v>16</v>
      </c>
      <c r="F72">
        <v>1</v>
      </c>
      <c r="G72">
        <v>62.77</v>
      </c>
      <c r="H72">
        <v>0</v>
      </c>
      <c r="I72">
        <v>62.77</v>
      </c>
    </row>
    <row r="73" spans="1:9" x14ac:dyDescent="0.25">
      <c r="A73">
        <v>72</v>
      </c>
      <c r="B73" s="9">
        <v>45694</v>
      </c>
      <c r="C73">
        <v>7</v>
      </c>
      <c r="D73">
        <v>143</v>
      </c>
      <c r="E73">
        <v>23</v>
      </c>
      <c r="F73">
        <v>1</v>
      </c>
      <c r="G73">
        <v>79.94</v>
      </c>
      <c r="H73">
        <v>0</v>
      </c>
      <c r="I73">
        <v>79.94</v>
      </c>
    </row>
    <row r="74" spans="1:9" x14ac:dyDescent="0.25">
      <c r="A74">
        <v>73</v>
      </c>
      <c r="B74" s="9">
        <v>45225</v>
      </c>
      <c r="C74">
        <v>4</v>
      </c>
      <c r="D74">
        <v>7</v>
      </c>
      <c r="E74">
        <v>9</v>
      </c>
      <c r="F74">
        <v>2</v>
      </c>
      <c r="G74">
        <v>152.78</v>
      </c>
      <c r="H74">
        <v>0</v>
      </c>
      <c r="I74">
        <v>305.56</v>
      </c>
    </row>
    <row r="75" spans="1:9" x14ac:dyDescent="0.25">
      <c r="A75">
        <v>74</v>
      </c>
      <c r="B75" s="9">
        <v>45770</v>
      </c>
      <c r="C75">
        <v>3</v>
      </c>
      <c r="D75">
        <v>19</v>
      </c>
      <c r="E75">
        <v>91</v>
      </c>
      <c r="F75">
        <v>1</v>
      </c>
      <c r="G75">
        <v>33.700000000000003</v>
      </c>
      <c r="H75">
        <v>0</v>
      </c>
      <c r="I75">
        <v>33.700000000000003</v>
      </c>
    </row>
    <row r="76" spans="1:9" x14ac:dyDescent="0.25">
      <c r="A76">
        <v>75</v>
      </c>
      <c r="B76" s="9">
        <v>45275</v>
      </c>
      <c r="C76">
        <v>3</v>
      </c>
      <c r="D76">
        <v>98</v>
      </c>
      <c r="E76">
        <v>88</v>
      </c>
      <c r="F76">
        <v>1</v>
      </c>
      <c r="G76">
        <v>181.05</v>
      </c>
      <c r="H76">
        <v>0</v>
      </c>
      <c r="I76">
        <v>181.05</v>
      </c>
    </row>
    <row r="77" spans="1:9" x14ac:dyDescent="0.25">
      <c r="A77">
        <v>76</v>
      </c>
      <c r="B77" s="9">
        <v>45088</v>
      </c>
      <c r="C77">
        <v>7</v>
      </c>
      <c r="D77">
        <v>167</v>
      </c>
      <c r="E77">
        <v>61</v>
      </c>
      <c r="F77">
        <v>1</v>
      </c>
      <c r="G77">
        <v>106.64</v>
      </c>
      <c r="H77">
        <v>0.2</v>
      </c>
      <c r="I77">
        <v>85.31</v>
      </c>
    </row>
    <row r="78" spans="1:9" x14ac:dyDescent="0.25">
      <c r="A78">
        <v>77</v>
      </c>
      <c r="B78" s="9">
        <v>45420</v>
      </c>
      <c r="C78">
        <v>8</v>
      </c>
      <c r="D78">
        <v>51</v>
      </c>
      <c r="E78">
        <v>87</v>
      </c>
      <c r="F78">
        <v>1</v>
      </c>
      <c r="G78">
        <v>223.85</v>
      </c>
      <c r="H78">
        <v>0.05</v>
      </c>
      <c r="I78">
        <v>212.66</v>
      </c>
    </row>
    <row r="79" spans="1:9" x14ac:dyDescent="0.25">
      <c r="A79">
        <v>78</v>
      </c>
      <c r="B79" s="9">
        <v>45220</v>
      </c>
      <c r="C79">
        <v>4</v>
      </c>
      <c r="D79">
        <v>148</v>
      </c>
      <c r="E79">
        <v>23</v>
      </c>
      <c r="F79">
        <v>1</v>
      </c>
      <c r="G79">
        <v>79.94</v>
      </c>
      <c r="H79">
        <v>0</v>
      </c>
      <c r="I79">
        <v>79.94</v>
      </c>
    </row>
    <row r="80" spans="1:9" x14ac:dyDescent="0.25">
      <c r="A80">
        <v>79</v>
      </c>
      <c r="B80" s="9">
        <v>45871</v>
      </c>
      <c r="C80">
        <v>5</v>
      </c>
      <c r="D80">
        <v>74</v>
      </c>
      <c r="E80">
        <v>34</v>
      </c>
      <c r="F80">
        <v>2</v>
      </c>
      <c r="G80">
        <v>247.04</v>
      </c>
      <c r="H80">
        <v>0</v>
      </c>
      <c r="I80">
        <v>494.08</v>
      </c>
    </row>
    <row r="81" spans="1:9" x14ac:dyDescent="0.25">
      <c r="A81">
        <v>80</v>
      </c>
      <c r="B81" s="9">
        <v>45868</v>
      </c>
      <c r="C81">
        <v>5</v>
      </c>
      <c r="D81">
        <v>82</v>
      </c>
      <c r="E81">
        <v>36</v>
      </c>
      <c r="F81">
        <v>2</v>
      </c>
      <c r="G81">
        <v>211.43</v>
      </c>
      <c r="H81">
        <v>0</v>
      </c>
      <c r="I81">
        <v>422.86</v>
      </c>
    </row>
    <row r="82" spans="1:9" x14ac:dyDescent="0.25">
      <c r="A82">
        <v>81</v>
      </c>
      <c r="B82" s="9">
        <v>44946</v>
      </c>
      <c r="C82">
        <v>8</v>
      </c>
      <c r="D82">
        <v>34</v>
      </c>
      <c r="E82">
        <v>63</v>
      </c>
      <c r="F82">
        <v>1</v>
      </c>
      <c r="G82">
        <v>239.9</v>
      </c>
      <c r="H82">
        <v>0.1</v>
      </c>
      <c r="I82">
        <v>215.91</v>
      </c>
    </row>
    <row r="83" spans="1:9" x14ac:dyDescent="0.25">
      <c r="A83">
        <v>82</v>
      </c>
      <c r="B83" s="9">
        <v>45516</v>
      </c>
      <c r="C83">
        <v>3</v>
      </c>
      <c r="D83">
        <v>164</v>
      </c>
      <c r="E83">
        <v>87</v>
      </c>
      <c r="F83">
        <v>1</v>
      </c>
      <c r="G83">
        <v>223.85</v>
      </c>
      <c r="H83">
        <v>0.1</v>
      </c>
      <c r="I83">
        <v>201.47</v>
      </c>
    </row>
    <row r="84" spans="1:9" x14ac:dyDescent="0.25">
      <c r="A84">
        <v>83</v>
      </c>
      <c r="B84" s="9">
        <v>45078</v>
      </c>
      <c r="C84">
        <v>8</v>
      </c>
      <c r="D84">
        <v>147</v>
      </c>
      <c r="E84">
        <v>35</v>
      </c>
      <c r="F84">
        <v>1</v>
      </c>
      <c r="G84">
        <v>303.48</v>
      </c>
      <c r="H84">
        <v>0</v>
      </c>
      <c r="I84">
        <v>303.48</v>
      </c>
    </row>
    <row r="85" spans="1:9" x14ac:dyDescent="0.25">
      <c r="A85">
        <v>84</v>
      </c>
      <c r="B85" s="9">
        <v>45634</v>
      </c>
      <c r="C85">
        <v>5</v>
      </c>
      <c r="D85">
        <v>130</v>
      </c>
      <c r="E85">
        <v>90</v>
      </c>
      <c r="F85">
        <v>1</v>
      </c>
      <c r="G85">
        <v>122.32</v>
      </c>
      <c r="H85">
        <v>0.15</v>
      </c>
      <c r="I85">
        <v>103.97</v>
      </c>
    </row>
    <row r="86" spans="1:9" x14ac:dyDescent="0.25">
      <c r="A86">
        <v>85</v>
      </c>
      <c r="B86" s="9">
        <v>45795</v>
      </c>
      <c r="C86">
        <v>5</v>
      </c>
      <c r="D86">
        <v>108</v>
      </c>
      <c r="E86">
        <v>26</v>
      </c>
      <c r="F86">
        <v>2</v>
      </c>
      <c r="G86">
        <v>211.87</v>
      </c>
      <c r="H86">
        <v>0</v>
      </c>
      <c r="I86">
        <v>423.74</v>
      </c>
    </row>
    <row r="87" spans="1:9" x14ac:dyDescent="0.25">
      <c r="A87">
        <v>86</v>
      </c>
      <c r="B87" s="9">
        <v>45862</v>
      </c>
      <c r="C87">
        <v>5</v>
      </c>
      <c r="D87">
        <v>115</v>
      </c>
      <c r="E87">
        <v>35</v>
      </c>
      <c r="F87">
        <v>1</v>
      </c>
      <c r="G87">
        <v>303.48</v>
      </c>
      <c r="H87">
        <v>0.05</v>
      </c>
      <c r="I87">
        <v>288.31</v>
      </c>
    </row>
    <row r="88" spans="1:9" x14ac:dyDescent="0.25">
      <c r="A88">
        <v>87</v>
      </c>
      <c r="B88" s="9">
        <v>45334</v>
      </c>
      <c r="C88">
        <v>7</v>
      </c>
      <c r="D88">
        <v>90</v>
      </c>
      <c r="E88">
        <v>97</v>
      </c>
      <c r="F88">
        <v>1</v>
      </c>
      <c r="G88">
        <v>158.26</v>
      </c>
      <c r="H88">
        <v>0.1</v>
      </c>
      <c r="I88">
        <v>142.43</v>
      </c>
    </row>
    <row r="89" spans="1:9" x14ac:dyDescent="0.25">
      <c r="A89">
        <v>88</v>
      </c>
      <c r="B89" s="9">
        <v>45916</v>
      </c>
      <c r="C89">
        <v>2</v>
      </c>
      <c r="D89">
        <v>56</v>
      </c>
      <c r="E89">
        <v>38</v>
      </c>
      <c r="F89">
        <v>1</v>
      </c>
      <c r="G89">
        <v>35.35</v>
      </c>
      <c r="H89">
        <v>0</v>
      </c>
      <c r="I89">
        <v>35.35</v>
      </c>
    </row>
    <row r="90" spans="1:9" x14ac:dyDescent="0.25">
      <c r="A90">
        <v>89</v>
      </c>
      <c r="B90" s="9">
        <v>45412</v>
      </c>
      <c r="C90">
        <v>7</v>
      </c>
      <c r="D90">
        <v>99</v>
      </c>
      <c r="E90">
        <v>98</v>
      </c>
      <c r="F90">
        <v>4</v>
      </c>
      <c r="G90">
        <v>136.97</v>
      </c>
      <c r="H90">
        <v>0</v>
      </c>
      <c r="I90">
        <v>547.88</v>
      </c>
    </row>
    <row r="91" spans="1:9" x14ac:dyDescent="0.25">
      <c r="A91">
        <v>90</v>
      </c>
      <c r="B91" s="9">
        <v>45662</v>
      </c>
      <c r="C91">
        <v>5</v>
      </c>
      <c r="D91">
        <v>24</v>
      </c>
      <c r="E91">
        <v>67</v>
      </c>
      <c r="F91">
        <v>1</v>
      </c>
      <c r="G91">
        <v>41.9</v>
      </c>
      <c r="H91">
        <v>0</v>
      </c>
      <c r="I91">
        <v>41.9</v>
      </c>
    </row>
    <row r="92" spans="1:9" x14ac:dyDescent="0.25">
      <c r="A92">
        <v>91</v>
      </c>
      <c r="B92" s="9">
        <v>45531</v>
      </c>
      <c r="C92">
        <v>1</v>
      </c>
      <c r="D92">
        <v>9</v>
      </c>
      <c r="E92">
        <v>91</v>
      </c>
      <c r="F92">
        <v>1</v>
      </c>
      <c r="G92">
        <v>33.700000000000003</v>
      </c>
      <c r="H92">
        <v>0</v>
      </c>
      <c r="I92">
        <v>33.700000000000003</v>
      </c>
    </row>
    <row r="93" spans="1:9" x14ac:dyDescent="0.25">
      <c r="A93">
        <v>92</v>
      </c>
      <c r="B93" s="9">
        <v>45737</v>
      </c>
      <c r="C93">
        <v>5</v>
      </c>
      <c r="D93">
        <v>210</v>
      </c>
      <c r="E93">
        <v>48</v>
      </c>
      <c r="F93">
        <v>1</v>
      </c>
      <c r="G93">
        <v>146.85</v>
      </c>
      <c r="H93">
        <v>0</v>
      </c>
      <c r="I93">
        <v>146.85</v>
      </c>
    </row>
    <row r="94" spans="1:9" x14ac:dyDescent="0.25">
      <c r="A94">
        <v>93</v>
      </c>
      <c r="B94" s="9">
        <v>44943</v>
      </c>
      <c r="C94">
        <v>1</v>
      </c>
      <c r="D94">
        <v>217</v>
      </c>
      <c r="E94">
        <v>31</v>
      </c>
      <c r="F94">
        <v>3</v>
      </c>
      <c r="G94">
        <v>165.45</v>
      </c>
      <c r="H94">
        <v>0</v>
      </c>
      <c r="I94">
        <v>496.35</v>
      </c>
    </row>
    <row r="95" spans="1:9" x14ac:dyDescent="0.25">
      <c r="A95">
        <v>94</v>
      </c>
      <c r="B95" s="9">
        <v>45944</v>
      </c>
      <c r="C95">
        <v>5</v>
      </c>
      <c r="D95">
        <v>54</v>
      </c>
      <c r="E95">
        <v>34</v>
      </c>
      <c r="F95">
        <v>2</v>
      </c>
      <c r="G95">
        <v>247.04</v>
      </c>
      <c r="H95">
        <v>0</v>
      </c>
      <c r="I95">
        <v>494.08</v>
      </c>
    </row>
    <row r="96" spans="1:9" x14ac:dyDescent="0.25">
      <c r="A96">
        <v>95</v>
      </c>
      <c r="B96" s="9">
        <v>45398</v>
      </c>
      <c r="C96">
        <v>6</v>
      </c>
      <c r="D96">
        <v>104</v>
      </c>
      <c r="E96">
        <v>55</v>
      </c>
      <c r="F96">
        <v>2</v>
      </c>
      <c r="G96">
        <v>193.33</v>
      </c>
      <c r="H96">
        <v>0</v>
      </c>
      <c r="I96">
        <v>386.66</v>
      </c>
    </row>
    <row r="97" spans="1:9" x14ac:dyDescent="0.25">
      <c r="A97">
        <v>96</v>
      </c>
      <c r="B97" s="9">
        <v>45375</v>
      </c>
      <c r="C97">
        <v>4</v>
      </c>
      <c r="D97">
        <v>116</v>
      </c>
      <c r="E97">
        <v>26</v>
      </c>
      <c r="F97">
        <v>1</v>
      </c>
      <c r="G97">
        <v>211.87</v>
      </c>
      <c r="H97">
        <v>0</v>
      </c>
      <c r="I97">
        <v>211.87</v>
      </c>
    </row>
    <row r="98" spans="1:9" x14ac:dyDescent="0.25">
      <c r="A98">
        <v>97</v>
      </c>
      <c r="B98" s="9">
        <v>45440</v>
      </c>
      <c r="C98">
        <v>3</v>
      </c>
      <c r="D98">
        <v>202</v>
      </c>
      <c r="E98">
        <v>46</v>
      </c>
      <c r="F98">
        <v>2</v>
      </c>
      <c r="G98">
        <v>157</v>
      </c>
      <c r="H98">
        <v>0</v>
      </c>
      <c r="I98">
        <v>314</v>
      </c>
    </row>
    <row r="99" spans="1:9" x14ac:dyDescent="0.25">
      <c r="A99">
        <v>98</v>
      </c>
      <c r="B99" s="9">
        <v>45125</v>
      </c>
      <c r="C99">
        <v>1</v>
      </c>
      <c r="D99">
        <v>130</v>
      </c>
      <c r="E99">
        <v>93</v>
      </c>
      <c r="F99">
        <v>1</v>
      </c>
      <c r="G99">
        <v>239.23</v>
      </c>
      <c r="H99">
        <v>0.2</v>
      </c>
      <c r="I99">
        <v>191.38</v>
      </c>
    </row>
    <row r="100" spans="1:9" x14ac:dyDescent="0.25">
      <c r="A100">
        <v>99</v>
      </c>
      <c r="B100" s="9">
        <v>45559</v>
      </c>
      <c r="C100">
        <v>8</v>
      </c>
      <c r="D100">
        <v>140</v>
      </c>
      <c r="E100">
        <v>9</v>
      </c>
      <c r="F100">
        <v>1</v>
      </c>
      <c r="G100">
        <v>152.78</v>
      </c>
      <c r="H100">
        <v>0</v>
      </c>
      <c r="I100">
        <v>152.78</v>
      </c>
    </row>
    <row r="101" spans="1:9" x14ac:dyDescent="0.25">
      <c r="A101">
        <v>100</v>
      </c>
      <c r="B101" s="9">
        <v>44995</v>
      </c>
      <c r="C101">
        <v>6</v>
      </c>
      <c r="D101">
        <v>3</v>
      </c>
      <c r="E101">
        <v>89</v>
      </c>
      <c r="F101">
        <v>2</v>
      </c>
      <c r="G101">
        <v>247.43</v>
      </c>
      <c r="H101">
        <v>0.05</v>
      </c>
      <c r="I101">
        <v>470.12</v>
      </c>
    </row>
    <row r="102" spans="1:9" x14ac:dyDescent="0.25">
      <c r="A102">
        <v>101</v>
      </c>
      <c r="B102" s="9">
        <v>45196</v>
      </c>
      <c r="C102">
        <v>2</v>
      </c>
      <c r="D102">
        <v>69</v>
      </c>
      <c r="E102">
        <v>97</v>
      </c>
      <c r="F102">
        <v>1</v>
      </c>
      <c r="G102">
        <v>158.26</v>
      </c>
      <c r="H102">
        <v>0.1</v>
      </c>
      <c r="I102">
        <v>142.43</v>
      </c>
    </row>
    <row r="103" spans="1:9" x14ac:dyDescent="0.25">
      <c r="A103">
        <v>102</v>
      </c>
      <c r="B103" s="9">
        <v>45531</v>
      </c>
      <c r="C103">
        <v>6</v>
      </c>
      <c r="D103">
        <v>89</v>
      </c>
      <c r="E103">
        <v>49</v>
      </c>
      <c r="F103">
        <v>1</v>
      </c>
      <c r="G103">
        <v>130.58000000000001</v>
      </c>
      <c r="H103">
        <v>0</v>
      </c>
      <c r="I103">
        <v>130.58000000000001</v>
      </c>
    </row>
    <row r="104" spans="1:9" x14ac:dyDescent="0.25">
      <c r="A104">
        <v>103</v>
      </c>
      <c r="B104" s="9">
        <v>45777</v>
      </c>
      <c r="C104">
        <v>3</v>
      </c>
      <c r="D104">
        <v>127</v>
      </c>
      <c r="E104">
        <v>13</v>
      </c>
      <c r="F104">
        <v>2</v>
      </c>
      <c r="G104">
        <v>262.70999999999998</v>
      </c>
      <c r="H104">
        <v>0</v>
      </c>
      <c r="I104">
        <v>525.41999999999996</v>
      </c>
    </row>
    <row r="105" spans="1:9" x14ac:dyDescent="0.25">
      <c r="A105">
        <v>104</v>
      </c>
      <c r="B105" s="9">
        <v>45338</v>
      </c>
      <c r="C105">
        <v>3</v>
      </c>
      <c r="D105">
        <v>178</v>
      </c>
      <c r="E105">
        <v>33</v>
      </c>
      <c r="F105">
        <v>1</v>
      </c>
      <c r="G105">
        <v>21.23</v>
      </c>
      <c r="H105">
        <v>0.05</v>
      </c>
      <c r="I105">
        <v>20.170000000000002</v>
      </c>
    </row>
    <row r="106" spans="1:9" x14ac:dyDescent="0.25">
      <c r="A106">
        <v>105</v>
      </c>
      <c r="B106" s="9">
        <v>45676</v>
      </c>
      <c r="C106">
        <v>5</v>
      </c>
      <c r="D106">
        <v>188</v>
      </c>
      <c r="E106">
        <v>30</v>
      </c>
      <c r="F106">
        <v>2</v>
      </c>
      <c r="G106">
        <v>19.399999999999999</v>
      </c>
      <c r="H106">
        <v>0.05</v>
      </c>
      <c r="I106">
        <v>36.86</v>
      </c>
    </row>
    <row r="107" spans="1:9" x14ac:dyDescent="0.25">
      <c r="A107">
        <v>106</v>
      </c>
      <c r="B107" s="9">
        <v>45263</v>
      </c>
      <c r="C107">
        <v>5</v>
      </c>
      <c r="D107">
        <v>33</v>
      </c>
      <c r="E107">
        <v>89</v>
      </c>
      <c r="F107">
        <v>3</v>
      </c>
      <c r="G107">
        <v>247.43</v>
      </c>
      <c r="H107">
        <v>0</v>
      </c>
      <c r="I107">
        <v>742.29</v>
      </c>
    </row>
    <row r="108" spans="1:9" x14ac:dyDescent="0.25">
      <c r="A108">
        <v>107</v>
      </c>
      <c r="B108" s="9">
        <v>45913</v>
      </c>
      <c r="C108">
        <v>5</v>
      </c>
      <c r="D108">
        <v>95</v>
      </c>
      <c r="E108">
        <v>88</v>
      </c>
      <c r="F108">
        <v>1</v>
      </c>
      <c r="G108">
        <v>181.05</v>
      </c>
      <c r="H108">
        <v>0.05</v>
      </c>
      <c r="I108">
        <v>172</v>
      </c>
    </row>
    <row r="109" spans="1:9" x14ac:dyDescent="0.25">
      <c r="A109">
        <v>108</v>
      </c>
      <c r="B109" s="9">
        <v>45620</v>
      </c>
      <c r="C109">
        <v>2</v>
      </c>
      <c r="D109">
        <v>150</v>
      </c>
      <c r="E109">
        <v>29</v>
      </c>
      <c r="F109">
        <v>2</v>
      </c>
      <c r="G109">
        <v>138.6</v>
      </c>
      <c r="H109">
        <v>0.05</v>
      </c>
      <c r="I109">
        <v>263.33999999999997</v>
      </c>
    </row>
    <row r="110" spans="1:9" x14ac:dyDescent="0.25">
      <c r="A110">
        <v>109</v>
      </c>
      <c r="B110" s="9">
        <v>45886</v>
      </c>
      <c r="C110">
        <v>2</v>
      </c>
      <c r="D110">
        <v>102</v>
      </c>
      <c r="E110">
        <v>28</v>
      </c>
      <c r="F110">
        <v>1</v>
      </c>
      <c r="G110">
        <v>162.13</v>
      </c>
      <c r="H110">
        <v>0</v>
      </c>
      <c r="I110">
        <v>162.13</v>
      </c>
    </row>
    <row r="111" spans="1:9" x14ac:dyDescent="0.25">
      <c r="A111">
        <v>110</v>
      </c>
      <c r="B111" s="9">
        <v>45215</v>
      </c>
      <c r="C111">
        <v>4</v>
      </c>
      <c r="D111">
        <v>84</v>
      </c>
      <c r="E111">
        <v>12</v>
      </c>
      <c r="F111">
        <v>1</v>
      </c>
      <c r="G111">
        <v>236.84</v>
      </c>
      <c r="H111">
        <v>0.15</v>
      </c>
      <c r="I111">
        <v>201.31</v>
      </c>
    </row>
    <row r="112" spans="1:9" x14ac:dyDescent="0.25">
      <c r="A112">
        <v>111</v>
      </c>
      <c r="B112" s="9">
        <v>45740</v>
      </c>
      <c r="C112">
        <v>6</v>
      </c>
      <c r="D112">
        <v>67</v>
      </c>
      <c r="E112">
        <v>78</v>
      </c>
      <c r="F112">
        <v>2</v>
      </c>
      <c r="G112">
        <v>25.66</v>
      </c>
      <c r="H112">
        <v>0.05</v>
      </c>
      <c r="I112">
        <v>48.75</v>
      </c>
    </row>
    <row r="113" spans="1:9" x14ac:dyDescent="0.25">
      <c r="A113">
        <v>112</v>
      </c>
      <c r="B113" s="9">
        <v>45111</v>
      </c>
      <c r="C113">
        <v>7</v>
      </c>
      <c r="D113">
        <v>137</v>
      </c>
      <c r="E113">
        <v>3</v>
      </c>
      <c r="F113">
        <v>2</v>
      </c>
      <c r="G113">
        <v>190.58</v>
      </c>
      <c r="H113">
        <v>0</v>
      </c>
      <c r="I113">
        <v>381.16</v>
      </c>
    </row>
    <row r="114" spans="1:9" x14ac:dyDescent="0.25">
      <c r="A114">
        <v>113</v>
      </c>
      <c r="B114" s="9">
        <v>44955</v>
      </c>
      <c r="C114">
        <v>5</v>
      </c>
      <c r="D114">
        <v>58</v>
      </c>
      <c r="E114">
        <v>75</v>
      </c>
      <c r="F114">
        <v>1</v>
      </c>
      <c r="G114">
        <v>205.69</v>
      </c>
      <c r="H114">
        <v>0</v>
      </c>
      <c r="I114">
        <v>205.69</v>
      </c>
    </row>
    <row r="115" spans="1:9" x14ac:dyDescent="0.25">
      <c r="A115">
        <v>114</v>
      </c>
      <c r="B115" s="9">
        <v>45180</v>
      </c>
      <c r="C115">
        <v>8</v>
      </c>
      <c r="D115">
        <v>21</v>
      </c>
      <c r="E115">
        <v>44</v>
      </c>
      <c r="F115">
        <v>1</v>
      </c>
      <c r="G115">
        <v>235.19</v>
      </c>
      <c r="H115">
        <v>0.05</v>
      </c>
      <c r="I115">
        <v>223.43</v>
      </c>
    </row>
    <row r="116" spans="1:9" x14ac:dyDescent="0.25">
      <c r="A116">
        <v>115</v>
      </c>
      <c r="B116" s="9">
        <v>45681</v>
      </c>
      <c r="C116">
        <v>5</v>
      </c>
      <c r="D116">
        <v>182</v>
      </c>
      <c r="E116">
        <v>88</v>
      </c>
      <c r="F116">
        <v>1</v>
      </c>
      <c r="G116">
        <v>181.05</v>
      </c>
      <c r="H116">
        <v>0.1</v>
      </c>
      <c r="I116">
        <v>162.94999999999999</v>
      </c>
    </row>
    <row r="117" spans="1:9" x14ac:dyDescent="0.25">
      <c r="A117">
        <v>116</v>
      </c>
      <c r="B117" s="9">
        <v>45707</v>
      </c>
      <c r="C117">
        <v>6</v>
      </c>
      <c r="D117">
        <v>193</v>
      </c>
      <c r="E117">
        <v>11</v>
      </c>
      <c r="F117">
        <v>1</v>
      </c>
      <c r="G117">
        <v>11.53</v>
      </c>
      <c r="H117">
        <v>0</v>
      </c>
      <c r="I117">
        <v>11.53</v>
      </c>
    </row>
    <row r="118" spans="1:9" x14ac:dyDescent="0.25">
      <c r="A118">
        <v>117</v>
      </c>
      <c r="B118" s="9">
        <v>45148</v>
      </c>
      <c r="C118">
        <v>4</v>
      </c>
      <c r="D118">
        <v>15</v>
      </c>
      <c r="E118">
        <v>52</v>
      </c>
      <c r="F118">
        <v>2</v>
      </c>
      <c r="G118">
        <v>196.75</v>
      </c>
      <c r="H118">
        <v>0</v>
      </c>
      <c r="I118">
        <v>393.5</v>
      </c>
    </row>
    <row r="119" spans="1:9" x14ac:dyDescent="0.25">
      <c r="A119">
        <v>118</v>
      </c>
      <c r="B119" s="9">
        <v>45892</v>
      </c>
      <c r="C119">
        <v>1</v>
      </c>
      <c r="D119">
        <v>174</v>
      </c>
      <c r="E119">
        <v>13</v>
      </c>
      <c r="F119">
        <v>1</v>
      </c>
      <c r="G119">
        <v>262.70999999999998</v>
      </c>
      <c r="H119">
        <v>0</v>
      </c>
      <c r="I119">
        <v>262.70999999999998</v>
      </c>
    </row>
    <row r="120" spans="1:9" x14ac:dyDescent="0.25">
      <c r="A120">
        <v>119</v>
      </c>
      <c r="B120" s="9">
        <v>45598</v>
      </c>
      <c r="C120">
        <v>4</v>
      </c>
      <c r="D120">
        <v>212</v>
      </c>
      <c r="E120">
        <v>38</v>
      </c>
      <c r="F120">
        <v>1</v>
      </c>
      <c r="G120">
        <v>35.35</v>
      </c>
      <c r="H120">
        <v>0.1</v>
      </c>
      <c r="I120">
        <v>31.82</v>
      </c>
    </row>
    <row r="121" spans="1:9" x14ac:dyDescent="0.25">
      <c r="A121">
        <v>120</v>
      </c>
      <c r="B121" s="9">
        <v>45056</v>
      </c>
      <c r="C121">
        <v>8</v>
      </c>
      <c r="D121">
        <v>94</v>
      </c>
      <c r="E121">
        <v>59</v>
      </c>
      <c r="F121">
        <v>1</v>
      </c>
      <c r="G121">
        <v>17.41</v>
      </c>
      <c r="H121">
        <v>0.15</v>
      </c>
      <c r="I121">
        <v>14.8</v>
      </c>
    </row>
    <row r="122" spans="1:9" x14ac:dyDescent="0.25">
      <c r="A122">
        <v>121</v>
      </c>
      <c r="B122" s="9">
        <v>45545</v>
      </c>
      <c r="C122">
        <v>7</v>
      </c>
      <c r="D122">
        <v>164</v>
      </c>
      <c r="E122">
        <v>77</v>
      </c>
      <c r="F122">
        <v>1</v>
      </c>
      <c r="G122">
        <v>226.88</v>
      </c>
      <c r="H122">
        <v>0.15</v>
      </c>
      <c r="I122">
        <v>192.85</v>
      </c>
    </row>
    <row r="123" spans="1:9" x14ac:dyDescent="0.25">
      <c r="A123">
        <v>122</v>
      </c>
      <c r="B123" s="9">
        <v>45165</v>
      </c>
      <c r="C123">
        <v>3</v>
      </c>
      <c r="D123">
        <v>140</v>
      </c>
      <c r="E123">
        <v>71</v>
      </c>
      <c r="F123">
        <v>1</v>
      </c>
      <c r="G123">
        <v>225.61</v>
      </c>
      <c r="H123">
        <v>0.2</v>
      </c>
      <c r="I123">
        <v>180.49</v>
      </c>
    </row>
    <row r="124" spans="1:9" x14ac:dyDescent="0.25">
      <c r="A124">
        <v>123</v>
      </c>
      <c r="B124" s="9">
        <v>45019</v>
      </c>
      <c r="C124">
        <v>1</v>
      </c>
      <c r="D124">
        <v>157</v>
      </c>
      <c r="E124">
        <v>68</v>
      </c>
      <c r="F124">
        <v>1</v>
      </c>
      <c r="G124">
        <v>198.56</v>
      </c>
      <c r="H124">
        <v>0</v>
      </c>
      <c r="I124">
        <v>198.56</v>
      </c>
    </row>
    <row r="125" spans="1:9" x14ac:dyDescent="0.25">
      <c r="A125">
        <v>124</v>
      </c>
      <c r="B125" s="9">
        <v>45550</v>
      </c>
      <c r="C125">
        <v>8</v>
      </c>
      <c r="D125">
        <v>144</v>
      </c>
      <c r="E125">
        <v>79</v>
      </c>
      <c r="F125">
        <v>2</v>
      </c>
      <c r="G125">
        <v>117.59</v>
      </c>
      <c r="H125">
        <v>0.15</v>
      </c>
      <c r="I125">
        <v>199.9</v>
      </c>
    </row>
    <row r="126" spans="1:9" x14ac:dyDescent="0.25">
      <c r="A126">
        <v>125</v>
      </c>
      <c r="B126" s="9">
        <v>45164</v>
      </c>
      <c r="C126">
        <v>2</v>
      </c>
      <c r="D126">
        <v>118</v>
      </c>
      <c r="E126">
        <v>47</v>
      </c>
      <c r="F126">
        <v>2</v>
      </c>
      <c r="G126">
        <v>93.41</v>
      </c>
      <c r="H126">
        <v>0</v>
      </c>
      <c r="I126">
        <v>186.82</v>
      </c>
    </row>
    <row r="127" spans="1:9" x14ac:dyDescent="0.25">
      <c r="A127">
        <v>126</v>
      </c>
      <c r="B127" s="9">
        <v>45407</v>
      </c>
      <c r="C127">
        <v>3</v>
      </c>
      <c r="D127">
        <v>92</v>
      </c>
      <c r="E127">
        <v>41</v>
      </c>
      <c r="F127">
        <v>1</v>
      </c>
      <c r="G127">
        <v>45.5</v>
      </c>
      <c r="H127">
        <v>0.15</v>
      </c>
      <c r="I127">
        <v>38.67</v>
      </c>
    </row>
    <row r="128" spans="1:9" x14ac:dyDescent="0.25">
      <c r="A128">
        <v>127</v>
      </c>
      <c r="B128" s="9">
        <v>45722</v>
      </c>
      <c r="C128">
        <v>8</v>
      </c>
      <c r="D128">
        <v>108</v>
      </c>
      <c r="E128">
        <v>50</v>
      </c>
      <c r="F128">
        <v>2</v>
      </c>
      <c r="G128">
        <v>52.54</v>
      </c>
      <c r="H128">
        <v>0</v>
      </c>
      <c r="I128">
        <v>105.08</v>
      </c>
    </row>
    <row r="129" spans="1:9" x14ac:dyDescent="0.25">
      <c r="A129">
        <v>128</v>
      </c>
      <c r="B129" s="9">
        <v>45686</v>
      </c>
      <c r="C129">
        <v>7</v>
      </c>
      <c r="D129">
        <v>86</v>
      </c>
      <c r="E129">
        <v>29</v>
      </c>
      <c r="F129">
        <v>1</v>
      </c>
      <c r="G129">
        <v>138.6</v>
      </c>
      <c r="H129">
        <v>0.15</v>
      </c>
      <c r="I129">
        <v>117.81</v>
      </c>
    </row>
    <row r="130" spans="1:9" x14ac:dyDescent="0.25">
      <c r="A130">
        <v>129</v>
      </c>
      <c r="B130" s="9">
        <v>45243</v>
      </c>
      <c r="C130">
        <v>7</v>
      </c>
      <c r="D130">
        <v>40</v>
      </c>
      <c r="E130">
        <v>12</v>
      </c>
      <c r="F130">
        <v>1</v>
      </c>
      <c r="G130">
        <v>236.84</v>
      </c>
      <c r="H130">
        <v>0</v>
      </c>
      <c r="I130">
        <v>236.84</v>
      </c>
    </row>
    <row r="131" spans="1:9" x14ac:dyDescent="0.25">
      <c r="A131">
        <v>130</v>
      </c>
      <c r="B131" s="9">
        <v>45129</v>
      </c>
      <c r="C131">
        <v>8</v>
      </c>
      <c r="D131">
        <v>3</v>
      </c>
      <c r="E131">
        <v>41</v>
      </c>
      <c r="F131">
        <v>1</v>
      </c>
      <c r="G131">
        <v>45.5</v>
      </c>
      <c r="H131">
        <v>0</v>
      </c>
      <c r="I131">
        <v>45.5</v>
      </c>
    </row>
    <row r="132" spans="1:9" x14ac:dyDescent="0.25">
      <c r="A132">
        <v>131</v>
      </c>
      <c r="B132" s="9">
        <v>45762</v>
      </c>
      <c r="C132">
        <v>5</v>
      </c>
      <c r="D132">
        <v>120</v>
      </c>
      <c r="E132">
        <v>44</v>
      </c>
      <c r="F132">
        <v>2</v>
      </c>
      <c r="G132">
        <v>235.19</v>
      </c>
      <c r="H132">
        <v>0.1</v>
      </c>
      <c r="I132">
        <v>423.34</v>
      </c>
    </row>
    <row r="133" spans="1:9" x14ac:dyDescent="0.25">
      <c r="A133">
        <v>132</v>
      </c>
      <c r="B133" s="9">
        <v>44994</v>
      </c>
      <c r="C133">
        <v>6</v>
      </c>
      <c r="D133">
        <v>146</v>
      </c>
      <c r="E133">
        <v>37</v>
      </c>
      <c r="F133">
        <v>1</v>
      </c>
      <c r="G133">
        <v>88.87</v>
      </c>
      <c r="H133">
        <v>0</v>
      </c>
      <c r="I133">
        <v>88.87</v>
      </c>
    </row>
    <row r="134" spans="1:9" x14ac:dyDescent="0.25">
      <c r="A134">
        <v>133</v>
      </c>
      <c r="B134" s="9">
        <v>45371</v>
      </c>
      <c r="C134">
        <v>8</v>
      </c>
      <c r="D134">
        <v>97</v>
      </c>
      <c r="E134">
        <v>84</v>
      </c>
      <c r="F134">
        <v>2</v>
      </c>
      <c r="G134">
        <v>26.78</v>
      </c>
      <c r="H134">
        <v>0</v>
      </c>
      <c r="I134">
        <v>53.56</v>
      </c>
    </row>
    <row r="135" spans="1:9" x14ac:dyDescent="0.25">
      <c r="A135">
        <v>134</v>
      </c>
      <c r="B135" s="9">
        <v>45837</v>
      </c>
      <c r="C135">
        <v>4</v>
      </c>
      <c r="D135">
        <v>154</v>
      </c>
      <c r="E135">
        <v>81</v>
      </c>
      <c r="F135">
        <v>1</v>
      </c>
      <c r="G135">
        <v>225.3</v>
      </c>
      <c r="H135">
        <v>0</v>
      </c>
      <c r="I135">
        <v>225.3</v>
      </c>
    </row>
    <row r="136" spans="1:9" x14ac:dyDescent="0.25">
      <c r="A136">
        <v>135</v>
      </c>
      <c r="B136" s="9">
        <v>45669</v>
      </c>
      <c r="C136">
        <v>2</v>
      </c>
      <c r="D136">
        <v>190</v>
      </c>
      <c r="E136">
        <v>20</v>
      </c>
      <c r="F136">
        <v>1</v>
      </c>
      <c r="G136">
        <v>85.89</v>
      </c>
      <c r="H136">
        <v>0</v>
      </c>
      <c r="I136">
        <v>85.89</v>
      </c>
    </row>
    <row r="137" spans="1:9" x14ac:dyDescent="0.25">
      <c r="A137">
        <v>136</v>
      </c>
      <c r="B137" s="9">
        <v>45679</v>
      </c>
      <c r="C137">
        <v>6</v>
      </c>
      <c r="D137">
        <v>182</v>
      </c>
      <c r="E137">
        <v>28</v>
      </c>
      <c r="F137">
        <v>1</v>
      </c>
      <c r="G137">
        <v>162.13</v>
      </c>
      <c r="H137">
        <v>0</v>
      </c>
      <c r="I137">
        <v>162.13</v>
      </c>
    </row>
    <row r="138" spans="1:9" x14ac:dyDescent="0.25">
      <c r="A138">
        <v>137</v>
      </c>
      <c r="B138" s="9">
        <v>45051</v>
      </c>
      <c r="C138">
        <v>7</v>
      </c>
      <c r="D138">
        <v>18</v>
      </c>
      <c r="E138">
        <v>45</v>
      </c>
      <c r="F138">
        <v>4</v>
      </c>
      <c r="G138">
        <v>70.989999999999995</v>
      </c>
      <c r="H138">
        <v>0.2</v>
      </c>
      <c r="I138">
        <v>227.17</v>
      </c>
    </row>
    <row r="139" spans="1:9" x14ac:dyDescent="0.25">
      <c r="A139">
        <v>138</v>
      </c>
      <c r="B139" s="9">
        <v>45492</v>
      </c>
      <c r="C139">
        <v>4</v>
      </c>
      <c r="D139">
        <v>143</v>
      </c>
      <c r="E139">
        <v>1</v>
      </c>
      <c r="F139">
        <v>1</v>
      </c>
      <c r="G139">
        <v>90.53</v>
      </c>
      <c r="H139">
        <v>0.05</v>
      </c>
      <c r="I139">
        <v>86</v>
      </c>
    </row>
    <row r="140" spans="1:9" x14ac:dyDescent="0.25">
      <c r="A140">
        <v>139</v>
      </c>
      <c r="B140" s="9">
        <v>45177</v>
      </c>
      <c r="C140">
        <v>8</v>
      </c>
      <c r="D140">
        <v>85</v>
      </c>
      <c r="E140">
        <v>17</v>
      </c>
      <c r="F140">
        <v>1</v>
      </c>
      <c r="G140">
        <v>97.14</v>
      </c>
      <c r="H140">
        <v>0</v>
      </c>
      <c r="I140">
        <v>97.14</v>
      </c>
    </row>
    <row r="141" spans="1:9" x14ac:dyDescent="0.25">
      <c r="A141">
        <v>140</v>
      </c>
      <c r="B141" s="9">
        <v>45114</v>
      </c>
      <c r="C141">
        <v>4</v>
      </c>
      <c r="D141">
        <v>218</v>
      </c>
      <c r="E141">
        <v>1</v>
      </c>
      <c r="F141">
        <v>1</v>
      </c>
      <c r="G141">
        <v>90.53</v>
      </c>
      <c r="H141">
        <v>0</v>
      </c>
      <c r="I141">
        <v>90.53</v>
      </c>
    </row>
    <row r="142" spans="1:9" x14ac:dyDescent="0.25">
      <c r="A142">
        <v>141</v>
      </c>
      <c r="B142" s="9">
        <v>44970</v>
      </c>
      <c r="C142">
        <v>1</v>
      </c>
      <c r="D142">
        <v>10</v>
      </c>
      <c r="E142">
        <v>2</v>
      </c>
      <c r="F142">
        <v>1</v>
      </c>
      <c r="G142">
        <v>274.16000000000003</v>
      </c>
      <c r="H142">
        <v>0.2</v>
      </c>
      <c r="I142">
        <v>219.33</v>
      </c>
    </row>
    <row r="143" spans="1:9" x14ac:dyDescent="0.25">
      <c r="A143">
        <v>142</v>
      </c>
      <c r="B143" s="9">
        <v>45610</v>
      </c>
      <c r="C143">
        <v>4</v>
      </c>
      <c r="D143">
        <v>119</v>
      </c>
      <c r="E143">
        <v>62</v>
      </c>
      <c r="F143">
        <v>2</v>
      </c>
      <c r="G143">
        <v>82.81</v>
      </c>
      <c r="H143">
        <v>0</v>
      </c>
      <c r="I143">
        <v>165.62</v>
      </c>
    </row>
    <row r="144" spans="1:9" x14ac:dyDescent="0.25">
      <c r="A144">
        <v>143</v>
      </c>
      <c r="B144" s="9">
        <v>45184</v>
      </c>
      <c r="C144">
        <v>4</v>
      </c>
      <c r="D144">
        <v>80</v>
      </c>
      <c r="E144">
        <v>86</v>
      </c>
      <c r="F144">
        <v>1</v>
      </c>
      <c r="G144">
        <v>99.19</v>
      </c>
      <c r="H144">
        <v>0.15</v>
      </c>
      <c r="I144">
        <v>84.31</v>
      </c>
    </row>
    <row r="145" spans="1:9" x14ac:dyDescent="0.25">
      <c r="A145">
        <v>144</v>
      </c>
      <c r="B145" s="9">
        <v>45067</v>
      </c>
      <c r="C145">
        <v>4</v>
      </c>
      <c r="D145">
        <v>189</v>
      </c>
      <c r="E145">
        <v>81</v>
      </c>
      <c r="F145">
        <v>1</v>
      </c>
      <c r="G145">
        <v>225.3</v>
      </c>
      <c r="H145">
        <v>0.15</v>
      </c>
      <c r="I145">
        <v>191.5</v>
      </c>
    </row>
    <row r="146" spans="1:9" x14ac:dyDescent="0.25">
      <c r="A146">
        <v>145</v>
      </c>
      <c r="B146" s="9">
        <v>45369</v>
      </c>
      <c r="C146">
        <v>4</v>
      </c>
      <c r="D146">
        <v>214</v>
      </c>
      <c r="E146">
        <v>78</v>
      </c>
      <c r="F146">
        <v>1</v>
      </c>
      <c r="G146">
        <v>25.66</v>
      </c>
      <c r="H146">
        <v>0</v>
      </c>
      <c r="I146">
        <v>25.66</v>
      </c>
    </row>
    <row r="147" spans="1:9" x14ac:dyDescent="0.25">
      <c r="A147">
        <v>146</v>
      </c>
      <c r="B147" s="9">
        <v>45599</v>
      </c>
      <c r="C147">
        <v>3</v>
      </c>
      <c r="D147">
        <v>182</v>
      </c>
      <c r="E147">
        <v>73</v>
      </c>
      <c r="F147">
        <v>1</v>
      </c>
      <c r="G147">
        <v>8.39</v>
      </c>
      <c r="H147">
        <v>0</v>
      </c>
      <c r="I147">
        <v>8.39</v>
      </c>
    </row>
    <row r="148" spans="1:9" x14ac:dyDescent="0.25">
      <c r="A148">
        <v>147</v>
      </c>
      <c r="B148" s="9">
        <v>44932</v>
      </c>
      <c r="C148">
        <v>5</v>
      </c>
      <c r="D148">
        <v>32</v>
      </c>
      <c r="E148">
        <v>97</v>
      </c>
      <c r="F148">
        <v>1</v>
      </c>
      <c r="G148">
        <v>158.26</v>
      </c>
      <c r="H148">
        <v>0</v>
      </c>
      <c r="I148">
        <v>158.26</v>
      </c>
    </row>
    <row r="149" spans="1:9" x14ac:dyDescent="0.25">
      <c r="A149">
        <v>148</v>
      </c>
      <c r="B149" s="9">
        <v>45223</v>
      </c>
      <c r="C149">
        <v>3</v>
      </c>
      <c r="D149">
        <v>210</v>
      </c>
      <c r="E149">
        <v>15</v>
      </c>
      <c r="F149">
        <v>1</v>
      </c>
      <c r="G149">
        <v>58.26</v>
      </c>
      <c r="H149">
        <v>0.05</v>
      </c>
      <c r="I149">
        <v>55.35</v>
      </c>
    </row>
    <row r="150" spans="1:9" x14ac:dyDescent="0.25">
      <c r="A150">
        <v>149</v>
      </c>
      <c r="B150" s="9">
        <v>45440</v>
      </c>
      <c r="C150">
        <v>3</v>
      </c>
      <c r="D150">
        <v>97</v>
      </c>
      <c r="E150">
        <v>45</v>
      </c>
      <c r="F150">
        <v>1</v>
      </c>
      <c r="G150">
        <v>70.989999999999995</v>
      </c>
      <c r="H150">
        <v>0.1</v>
      </c>
      <c r="I150">
        <v>63.89</v>
      </c>
    </row>
    <row r="151" spans="1:9" x14ac:dyDescent="0.25">
      <c r="A151">
        <v>150</v>
      </c>
      <c r="B151" s="9">
        <v>45152</v>
      </c>
      <c r="C151">
        <v>1</v>
      </c>
      <c r="D151">
        <v>6</v>
      </c>
      <c r="E151">
        <v>58</v>
      </c>
      <c r="F151">
        <v>1</v>
      </c>
      <c r="G151">
        <v>64.400000000000006</v>
      </c>
      <c r="H151">
        <v>0.2</v>
      </c>
      <c r="I151">
        <v>51.52</v>
      </c>
    </row>
    <row r="152" spans="1:9" x14ac:dyDescent="0.25">
      <c r="A152">
        <v>151</v>
      </c>
      <c r="B152" s="9">
        <v>45196</v>
      </c>
      <c r="C152">
        <v>1</v>
      </c>
      <c r="D152">
        <v>194</v>
      </c>
      <c r="E152">
        <v>17</v>
      </c>
      <c r="F152">
        <v>1</v>
      </c>
      <c r="G152">
        <v>97.14</v>
      </c>
      <c r="H152">
        <v>0.2</v>
      </c>
      <c r="I152">
        <v>77.709999999999994</v>
      </c>
    </row>
    <row r="153" spans="1:9" x14ac:dyDescent="0.25">
      <c r="A153">
        <v>152</v>
      </c>
      <c r="B153" s="9">
        <v>45660</v>
      </c>
      <c r="C153">
        <v>4</v>
      </c>
      <c r="D153">
        <v>179</v>
      </c>
      <c r="E153">
        <v>76</v>
      </c>
      <c r="F153">
        <v>1</v>
      </c>
      <c r="G153">
        <v>181.01</v>
      </c>
      <c r="H153">
        <v>0</v>
      </c>
      <c r="I153">
        <v>181.01</v>
      </c>
    </row>
    <row r="154" spans="1:9" x14ac:dyDescent="0.25">
      <c r="A154">
        <v>153</v>
      </c>
      <c r="B154" s="9">
        <v>45590</v>
      </c>
      <c r="C154">
        <v>1</v>
      </c>
      <c r="D154">
        <v>31</v>
      </c>
      <c r="E154">
        <v>43</v>
      </c>
      <c r="F154">
        <v>2</v>
      </c>
      <c r="G154">
        <v>16.04</v>
      </c>
      <c r="H154">
        <v>0.05</v>
      </c>
      <c r="I154">
        <v>30.48</v>
      </c>
    </row>
    <row r="155" spans="1:9" x14ac:dyDescent="0.25">
      <c r="A155">
        <v>154</v>
      </c>
      <c r="B155" s="9">
        <v>45283</v>
      </c>
      <c r="C155">
        <v>5</v>
      </c>
      <c r="D155">
        <v>5</v>
      </c>
      <c r="E155">
        <v>16</v>
      </c>
      <c r="F155">
        <v>1</v>
      </c>
      <c r="G155">
        <v>62.77</v>
      </c>
      <c r="H155">
        <v>0</v>
      </c>
      <c r="I155">
        <v>62.77</v>
      </c>
    </row>
    <row r="156" spans="1:9" x14ac:dyDescent="0.25">
      <c r="A156">
        <v>155</v>
      </c>
      <c r="B156" s="9">
        <v>45034</v>
      </c>
      <c r="C156">
        <v>3</v>
      </c>
      <c r="D156">
        <v>133</v>
      </c>
      <c r="E156">
        <v>96</v>
      </c>
      <c r="F156">
        <v>1</v>
      </c>
      <c r="G156">
        <v>132.69</v>
      </c>
      <c r="H156">
        <v>0</v>
      </c>
      <c r="I156">
        <v>132.69</v>
      </c>
    </row>
    <row r="157" spans="1:9" x14ac:dyDescent="0.25">
      <c r="A157">
        <v>156</v>
      </c>
      <c r="B157" s="9">
        <v>45789</v>
      </c>
      <c r="C157">
        <v>2</v>
      </c>
      <c r="D157">
        <v>84</v>
      </c>
      <c r="E157">
        <v>19</v>
      </c>
      <c r="F157">
        <v>1</v>
      </c>
      <c r="G157">
        <v>138.31</v>
      </c>
      <c r="H157">
        <v>0.2</v>
      </c>
      <c r="I157">
        <v>110.65</v>
      </c>
    </row>
    <row r="158" spans="1:9" x14ac:dyDescent="0.25">
      <c r="A158">
        <v>157</v>
      </c>
      <c r="B158" s="9">
        <v>45057</v>
      </c>
      <c r="C158">
        <v>8</v>
      </c>
      <c r="D158">
        <v>192</v>
      </c>
      <c r="E158">
        <v>28</v>
      </c>
      <c r="F158">
        <v>2</v>
      </c>
      <c r="G158">
        <v>162.13</v>
      </c>
      <c r="H158">
        <v>0</v>
      </c>
      <c r="I158">
        <v>324.26</v>
      </c>
    </row>
    <row r="159" spans="1:9" x14ac:dyDescent="0.25">
      <c r="A159">
        <v>158</v>
      </c>
      <c r="B159" s="9">
        <v>45845</v>
      </c>
      <c r="C159">
        <v>6</v>
      </c>
      <c r="D159">
        <v>184</v>
      </c>
      <c r="E159">
        <v>23</v>
      </c>
      <c r="F159">
        <v>1</v>
      </c>
      <c r="G159">
        <v>79.94</v>
      </c>
      <c r="H159">
        <v>0.1</v>
      </c>
      <c r="I159">
        <v>71.95</v>
      </c>
    </row>
    <row r="160" spans="1:9" x14ac:dyDescent="0.25">
      <c r="A160">
        <v>159</v>
      </c>
      <c r="B160" s="9">
        <v>45150</v>
      </c>
      <c r="C160">
        <v>8</v>
      </c>
      <c r="D160">
        <v>126</v>
      </c>
      <c r="E160">
        <v>62</v>
      </c>
      <c r="F160">
        <v>2</v>
      </c>
      <c r="G160">
        <v>82.81</v>
      </c>
      <c r="H160">
        <v>0.2</v>
      </c>
      <c r="I160">
        <v>132.5</v>
      </c>
    </row>
    <row r="161" spans="1:9" x14ac:dyDescent="0.25">
      <c r="A161">
        <v>160</v>
      </c>
      <c r="B161" s="9">
        <v>45958</v>
      </c>
      <c r="C161">
        <v>4</v>
      </c>
      <c r="D161">
        <v>40</v>
      </c>
      <c r="E161">
        <v>56</v>
      </c>
      <c r="F161">
        <v>4</v>
      </c>
      <c r="G161">
        <v>232.81</v>
      </c>
      <c r="H161">
        <v>0</v>
      </c>
      <c r="I161">
        <v>931.24</v>
      </c>
    </row>
    <row r="162" spans="1:9" x14ac:dyDescent="0.25">
      <c r="A162">
        <v>161</v>
      </c>
      <c r="B162" s="9">
        <v>45015</v>
      </c>
      <c r="C162">
        <v>5</v>
      </c>
      <c r="D162">
        <v>103</v>
      </c>
      <c r="E162">
        <v>71</v>
      </c>
      <c r="F162">
        <v>1</v>
      </c>
      <c r="G162">
        <v>225.61</v>
      </c>
      <c r="H162">
        <v>0.2</v>
      </c>
      <c r="I162">
        <v>180.49</v>
      </c>
    </row>
    <row r="163" spans="1:9" x14ac:dyDescent="0.25">
      <c r="A163">
        <v>162</v>
      </c>
      <c r="B163" s="9">
        <v>45865</v>
      </c>
      <c r="C163">
        <v>1</v>
      </c>
      <c r="D163">
        <v>129</v>
      </c>
      <c r="E163">
        <v>88</v>
      </c>
      <c r="F163">
        <v>1</v>
      </c>
      <c r="G163">
        <v>181.05</v>
      </c>
      <c r="H163">
        <v>0</v>
      </c>
      <c r="I163">
        <v>181.05</v>
      </c>
    </row>
    <row r="164" spans="1:9" x14ac:dyDescent="0.25">
      <c r="A164">
        <v>163</v>
      </c>
      <c r="B164" s="9">
        <v>45051</v>
      </c>
      <c r="C164">
        <v>8</v>
      </c>
      <c r="D164">
        <v>137</v>
      </c>
      <c r="E164">
        <v>57</v>
      </c>
      <c r="F164">
        <v>1</v>
      </c>
      <c r="G164">
        <v>32.28</v>
      </c>
      <c r="H164">
        <v>0</v>
      </c>
      <c r="I164">
        <v>32.28</v>
      </c>
    </row>
    <row r="165" spans="1:9" x14ac:dyDescent="0.25">
      <c r="A165">
        <v>164</v>
      </c>
      <c r="B165" s="9">
        <v>45749</v>
      </c>
      <c r="C165">
        <v>7</v>
      </c>
      <c r="D165">
        <v>109</v>
      </c>
      <c r="E165">
        <v>55</v>
      </c>
      <c r="F165">
        <v>2</v>
      </c>
      <c r="G165">
        <v>193.33</v>
      </c>
      <c r="H165">
        <v>0</v>
      </c>
      <c r="I165">
        <v>386.66</v>
      </c>
    </row>
    <row r="166" spans="1:9" x14ac:dyDescent="0.25">
      <c r="A166">
        <v>165</v>
      </c>
      <c r="B166" s="9">
        <v>45148</v>
      </c>
      <c r="C166">
        <v>8</v>
      </c>
      <c r="D166">
        <v>120</v>
      </c>
      <c r="E166">
        <v>89</v>
      </c>
      <c r="F166">
        <v>1</v>
      </c>
      <c r="G166">
        <v>247.43</v>
      </c>
      <c r="H166">
        <v>0</v>
      </c>
      <c r="I166">
        <v>247.43</v>
      </c>
    </row>
    <row r="167" spans="1:9" x14ac:dyDescent="0.25">
      <c r="A167">
        <v>166</v>
      </c>
      <c r="B167" s="9">
        <v>45835</v>
      </c>
      <c r="C167">
        <v>2</v>
      </c>
      <c r="D167">
        <v>134</v>
      </c>
      <c r="E167">
        <v>65</v>
      </c>
      <c r="F167">
        <v>1</v>
      </c>
      <c r="G167">
        <v>71.14</v>
      </c>
      <c r="H167">
        <v>0</v>
      </c>
      <c r="I167">
        <v>71.14</v>
      </c>
    </row>
    <row r="168" spans="1:9" x14ac:dyDescent="0.25">
      <c r="A168">
        <v>167</v>
      </c>
      <c r="B168" s="9">
        <v>45092</v>
      </c>
      <c r="C168">
        <v>6</v>
      </c>
      <c r="D168">
        <v>71</v>
      </c>
      <c r="E168">
        <v>11</v>
      </c>
      <c r="F168">
        <v>1</v>
      </c>
      <c r="G168">
        <v>11.53</v>
      </c>
      <c r="H168">
        <v>0.1</v>
      </c>
      <c r="I168">
        <v>10.38</v>
      </c>
    </row>
    <row r="169" spans="1:9" x14ac:dyDescent="0.25">
      <c r="A169">
        <v>168</v>
      </c>
      <c r="B169" s="9">
        <v>45230</v>
      </c>
      <c r="C169">
        <v>2</v>
      </c>
      <c r="D169">
        <v>49</v>
      </c>
      <c r="E169">
        <v>62</v>
      </c>
      <c r="F169">
        <v>1</v>
      </c>
      <c r="G169">
        <v>82.81</v>
      </c>
      <c r="H169">
        <v>0</v>
      </c>
      <c r="I169">
        <v>82.81</v>
      </c>
    </row>
    <row r="170" spans="1:9" x14ac:dyDescent="0.25">
      <c r="A170">
        <v>169</v>
      </c>
      <c r="B170" s="9">
        <v>45185</v>
      </c>
      <c r="C170">
        <v>5</v>
      </c>
      <c r="D170">
        <v>21</v>
      </c>
      <c r="E170">
        <v>60</v>
      </c>
      <c r="F170">
        <v>1</v>
      </c>
      <c r="G170">
        <v>101.29</v>
      </c>
      <c r="H170">
        <v>0</v>
      </c>
      <c r="I170">
        <v>101.29</v>
      </c>
    </row>
    <row r="171" spans="1:9" x14ac:dyDescent="0.25">
      <c r="A171">
        <v>170</v>
      </c>
      <c r="B171" s="9">
        <v>45592</v>
      </c>
      <c r="C171">
        <v>7</v>
      </c>
      <c r="D171">
        <v>151</v>
      </c>
      <c r="E171">
        <v>48</v>
      </c>
      <c r="F171">
        <v>2</v>
      </c>
      <c r="G171">
        <v>146.85</v>
      </c>
      <c r="H171">
        <v>0.1</v>
      </c>
      <c r="I171">
        <v>264.33</v>
      </c>
    </row>
    <row r="172" spans="1:9" x14ac:dyDescent="0.25">
      <c r="A172">
        <v>171</v>
      </c>
      <c r="B172" s="9">
        <v>45530</v>
      </c>
      <c r="C172">
        <v>8</v>
      </c>
      <c r="D172">
        <v>190</v>
      </c>
      <c r="E172">
        <v>63</v>
      </c>
      <c r="F172">
        <v>1</v>
      </c>
      <c r="G172">
        <v>239.9</v>
      </c>
      <c r="H172">
        <v>0</v>
      </c>
      <c r="I172">
        <v>239.9</v>
      </c>
    </row>
    <row r="173" spans="1:9" x14ac:dyDescent="0.25">
      <c r="A173">
        <v>172</v>
      </c>
      <c r="B173" s="9">
        <v>45962</v>
      </c>
      <c r="C173">
        <v>7</v>
      </c>
      <c r="D173">
        <v>74</v>
      </c>
      <c r="E173">
        <v>86</v>
      </c>
      <c r="F173">
        <v>1</v>
      </c>
      <c r="G173">
        <v>99.19</v>
      </c>
      <c r="H173">
        <v>0.2</v>
      </c>
      <c r="I173">
        <v>79.349999999999994</v>
      </c>
    </row>
    <row r="174" spans="1:9" x14ac:dyDescent="0.25">
      <c r="A174">
        <v>173</v>
      </c>
      <c r="B174" s="9">
        <v>45130</v>
      </c>
      <c r="C174">
        <v>2</v>
      </c>
      <c r="D174">
        <v>128</v>
      </c>
      <c r="E174">
        <v>49</v>
      </c>
      <c r="F174">
        <v>1</v>
      </c>
      <c r="G174">
        <v>130.58000000000001</v>
      </c>
      <c r="H174">
        <v>0</v>
      </c>
      <c r="I174">
        <v>130.58000000000001</v>
      </c>
    </row>
    <row r="175" spans="1:9" x14ac:dyDescent="0.25">
      <c r="A175">
        <v>174</v>
      </c>
      <c r="B175" s="9">
        <v>45367</v>
      </c>
      <c r="C175">
        <v>7</v>
      </c>
      <c r="D175">
        <v>216</v>
      </c>
      <c r="E175">
        <v>15</v>
      </c>
      <c r="F175">
        <v>1</v>
      </c>
      <c r="G175">
        <v>58.26</v>
      </c>
      <c r="H175">
        <v>0.05</v>
      </c>
      <c r="I175">
        <v>55.35</v>
      </c>
    </row>
    <row r="176" spans="1:9" x14ac:dyDescent="0.25">
      <c r="A176">
        <v>175</v>
      </c>
      <c r="B176" s="9">
        <v>45851</v>
      </c>
      <c r="C176">
        <v>4</v>
      </c>
      <c r="D176">
        <v>162</v>
      </c>
      <c r="E176">
        <v>94</v>
      </c>
      <c r="F176">
        <v>2</v>
      </c>
      <c r="G176">
        <v>163.66</v>
      </c>
      <c r="H176">
        <v>0.05</v>
      </c>
      <c r="I176">
        <v>310.95</v>
      </c>
    </row>
    <row r="177" spans="1:9" x14ac:dyDescent="0.25">
      <c r="A177">
        <v>176</v>
      </c>
      <c r="B177" s="9">
        <v>45774</v>
      </c>
      <c r="C177">
        <v>6</v>
      </c>
      <c r="D177">
        <v>5</v>
      </c>
      <c r="E177">
        <v>75</v>
      </c>
      <c r="F177">
        <v>1</v>
      </c>
      <c r="G177">
        <v>205.69</v>
      </c>
      <c r="H177">
        <v>0.05</v>
      </c>
      <c r="I177">
        <v>195.41</v>
      </c>
    </row>
    <row r="178" spans="1:9" x14ac:dyDescent="0.25">
      <c r="A178">
        <v>177</v>
      </c>
      <c r="B178" s="9">
        <v>45855</v>
      </c>
      <c r="C178">
        <v>7</v>
      </c>
      <c r="D178">
        <v>28</v>
      </c>
      <c r="E178">
        <v>75</v>
      </c>
      <c r="F178">
        <v>3</v>
      </c>
      <c r="G178">
        <v>205.69</v>
      </c>
      <c r="H178">
        <v>0.1</v>
      </c>
      <c r="I178">
        <v>555.36</v>
      </c>
    </row>
    <row r="179" spans="1:9" x14ac:dyDescent="0.25">
      <c r="A179">
        <v>178</v>
      </c>
      <c r="B179" s="9">
        <v>45778</v>
      </c>
      <c r="C179">
        <v>2</v>
      </c>
      <c r="D179">
        <v>171</v>
      </c>
      <c r="E179">
        <v>47</v>
      </c>
      <c r="F179">
        <v>1</v>
      </c>
      <c r="G179">
        <v>93.41</v>
      </c>
      <c r="H179">
        <v>0</v>
      </c>
      <c r="I179">
        <v>93.41</v>
      </c>
    </row>
    <row r="180" spans="1:9" x14ac:dyDescent="0.25">
      <c r="A180">
        <v>179</v>
      </c>
      <c r="B180" s="9">
        <v>45567</v>
      </c>
      <c r="C180">
        <v>7</v>
      </c>
      <c r="D180">
        <v>95</v>
      </c>
      <c r="E180">
        <v>91</v>
      </c>
      <c r="F180">
        <v>1</v>
      </c>
      <c r="G180">
        <v>33.700000000000003</v>
      </c>
      <c r="H180">
        <v>0</v>
      </c>
      <c r="I180">
        <v>33.700000000000003</v>
      </c>
    </row>
    <row r="181" spans="1:9" x14ac:dyDescent="0.25">
      <c r="A181">
        <v>180</v>
      </c>
      <c r="B181" s="9">
        <v>45567</v>
      </c>
      <c r="C181">
        <v>5</v>
      </c>
      <c r="D181">
        <v>208</v>
      </c>
      <c r="E181">
        <v>36</v>
      </c>
      <c r="F181">
        <v>2</v>
      </c>
      <c r="G181">
        <v>211.43</v>
      </c>
      <c r="H181">
        <v>0</v>
      </c>
      <c r="I181">
        <v>422.86</v>
      </c>
    </row>
    <row r="182" spans="1:9" x14ac:dyDescent="0.25">
      <c r="A182">
        <v>181</v>
      </c>
      <c r="B182" s="9">
        <v>45693</v>
      </c>
      <c r="C182">
        <v>3</v>
      </c>
      <c r="D182">
        <v>84</v>
      </c>
      <c r="E182">
        <v>37</v>
      </c>
      <c r="F182">
        <v>1</v>
      </c>
      <c r="G182">
        <v>88.87</v>
      </c>
      <c r="H182">
        <v>0</v>
      </c>
      <c r="I182">
        <v>88.87</v>
      </c>
    </row>
    <row r="183" spans="1:9" x14ac:dyDescent="0.25">
      <c r="A183">
        <v>182</v>
      </c>
      <c r="B183" s="9">
        <v>45898</v>
      </c>
      <c r="C183">
        <v>2</v>
      </c>
      <c r="D183">
        <v>94</v>
      </c>
      <c r="E183">
        <v>24</v>
      </c>
      <c r="F183">
        <v>1</v>
      </c>
      <c r="G183">
        <v>91.73</v>
      </c>
      <c r="H183">
        <v>0</v>
      </c>
      <c r="I183">
        <v>91.73</v>
      </c>
    </row>
    <row r="184" spans="1:9" x14ac:dyDescent="0.25">
      <c r="A184">
        <v>183</v>
      </c>
      <c r="B184" s="9">
        <v>45113</v>
      </c>
      <c r="C184">
        <v>2</v>
      </c>
      <c r="D184">
        <v>110</v>
      </c>
      <c r="E184">
        <v>58</v>
      </c>
      <c r="F184">
        <v>2</v>
      </c>
      <c r="G184">
        <v>64.400000000000006</v>
      </c>
      <c r="H184">
        <v>0.1</v>
      </c>
      <c r="I184">
        <v>115.92</v>
      </c>
    </row>
    <row r="185" spans="1:9" x14ac:dyDescent="0.25">
      <c r="A185">
        <v>184</v>
      </c>
      <c r="B185" s="9">
        <v>45117</v>
      </c>
      <c r="C185">
        <v>7</v>
      </c>
      <c r="D185">
        <v>47</v>
      </c>
      <c r="E185">
        <v>14</v>
      </c>
      <c r="F185">
        <v>1</v>
      </c>
      <c r="G185">
        <v>70.08</v>
      </c>
      <c r="H185">
        <v>0</v>
      </c>
      <c r="I185">
        <v>70.08</v>
      </c>
    </row>
    <row r="186" spans="1:9" x14ac:dyDescent="0.25">
      <c r="A186">
        <v>185</v>
      </c>
      <c r="B186" s="9">
        <v>45124</v>
      </c>
      <c r="C186">
        <v>6</v>
      </c>
      <c r="D186">
        <v>146</v>
      </c>
      <c r="E186">
        <v>57</v>
      </c>
      <c r="F186">
        <v>1</v>
      </c>
      <c r="G186">
        <v>32.28</v>
      </c>
      <c r="H186">
        <v>0</v>
      </c>
      <c r="I186">
        <v>32.28</v>
      </c>
    </row>
    <row r="187" spans="1:9" x14ac:dyDescent="0.25">
      <c r="A187">
        <v>186</v>
      </c>
      <c r="B187" s="9">
        <v>45193</v>
      </c>
      <c r="C187">
        <v>1</v>
      </c>
      <c r="D187">
        <v>131</v>
      </c>
      <c r="E187">
        <v>67</v>
      </c>
      <c r="F187">
        <v>1</v>
      </c>
      <c r="G187">
        <v>41.9</v>
      </c>
      <c r="H187">
        <v>0</v>
      </c>
      <c r="I187">
        <v>41.9</v>
      </c>
    </row>
    <row r="188" spans="1:9" x14ac:dyDescent="0.25">
      <c r="A188">
        <v>187</v>
      </c>
      <c r="B188" s="9">
        <v>45602</v>
      </c>
      <c r="C188">
        <v>2</v>
      </c>
      <c r="D188">
        <v>216</v>
      </c>
      <c r="E188">
        <v>13</v>
      </c>
      <c r="F188">
        <v>4</v>
      </c>
      <c r="G188">
        <v>262.70999999999998</v>
      </c>
      <c r="H188">
        <v>0.05</v>
      </c>
      <c r="I188">
        <v>998.3</v>
      </c>
    </row>
    <row r="189" spans="1:9" x14ac:dyDescent="0.25">
      <c r="A189">
        <v>188</v>
      </c>
      <c r="B189" s="9">
        <v>45768</v>
      </c>
      <c r="C189">
        <v>6</v>
      </c>
      <c r="D189">
        <v>198</v>
      </c>
      <c r="E189">
        <v>14</v>
      </c>
      <c r="F189">
        <v>1</v>
      </c>
      <c r="G189">
        <v>70.08</v>
      </c>
      <c r="H189">
        <v>0.1</v>
      </c>
      <c r="I189">
        <v>63.07</v>
      </c>
    </row>
    <row r="190" spans="1:9" x14ac:dyDescent="0.25">
      <c r="A190">
        <v>189</v>
      </c>
      <c r="B190" s="9">
        <v>45793</v>
      </c>
      <c r="C190">
        <v>1</v>
      </c>
      <c r="D190">
        <v>91</v>
      </c>
      <c r="E190">
        <v>37</v>
      </c>
      <c r="F190">
        <v>2</v>
      </c>
      <c r="G190">
        <v>88.87</v>
      </c>
      <c r="H190">
        <v>0.15</v>
      </c>
      <c r="I190">
        <v>151.08000000000001</v>
      </c>
    </row>
    <row r="191" spans="1:9" x14ac:dyDescent="0.25">
      <c r="A191">
        <v>190</v>
      </c>
      <c r="B191" s="9">
        <v>45516</v>
      </c>
      <c r="C191">
        <v>5</v>
      </c>
      <c r="D191">
        <v>138</v>
      </c>
      <c r="E191">
        <v>61</v>
      </c>
      <c r="F191">
        <v>1</v>
      </c>
      <c r="G191">
        <v>106.64</v>
      </c>
      <c r="H191">
        <v>0.1</v>
      </c>
      <c r="I191">
        <v>95.98</v>
      </c>
    </row>
    <row r="192" spans="1:9" x14ac:dyDescent="0.25">
      <c r="A192">
        <v>191</v>
      </c>
      <c r="B192" s="9">
        <v>45647</v>
      </c>
      <c r="C192">
        <v>2</v>
      </c>
      <c r="D192">
        <v>173</v>
      </c>
      <c r="E192">
        <v>75</v>
      </c>
      <c r="F192">
        <v>1</v>
      </c>
      <c r="G192">
        <v>205.69</v>
      </c>
      <c r="H192">
        <v>0</v>
      </c>
      <c r="I192">
        <v>205.69</v>
      </c>
    </row>
    <row r="193" spans="1:9" x14ac:dyDescent="0.25">
      <c r="A193">
        <v>192</v>
      </c>
      <c r="B193" s="9">
        <v>45966</v>
      </c>
      <c r="C193">
        <v>4</v>
      </c>
      <c r="D193">
        <v>122</v>
      </c>
      <c r="E193">
        <v>10</v>
      </c>
      <c r="F193">
        <v>2</v>
      </c>
      <c r="G193">
        <v>168.82</v>
      </c>
      <c r="H193">
        <v>0</v>
      </c>
      <c r="I193">
        <v>337.64</v>
      </c>
    </row>
    <row r="194" spans="1:9" x14ac:dyDescent="0.25">
      <c r="A194">
        <v>193</v>
      </c>
      <c r="B194" s="9">
        <v>45243</v>
      </c>
      <c r="C194">
        <v>8</v>
      </c>
      <c r="D194">
        <v>54</v>
      </c>
      <c r="E194">
        <v>28</v>
      </c>
      <c r="F194">
        <v>1</v>
      </c>
      <c r="G194">
        <v>162.13</v>
      </c>
      <c r="H194">
        <v>0</v>
      </c>
      <c r="I194">
        <v>162.13</v>
      </c>
    </row>
    <row r="195" spans="1:9" x14ac:dyDescent="0.25">
      <c r="A195">
        <v>194</v>
      </c>
      <c r="B195" s="9">
        <v>45386</v>
      </c>
      <c r="C195">
        <v>2</v>
      </c>
      <c r="D195">
        <v>150</v>
      </c>
      <c r="E195">
        <v>92</v>
      </c>
      <c r="F195">
        <v>1</v>
      </c>
      <c r="G195">
        <v>223.32</v>
      </c>
      <c r="H195">
        <v>0.05</v>
      </c>
      <c r="I195">
        <v>212.15</v>
      </c>
    </row>
    <row r="196" spans="1:9" x14ac:dyDescent="0.25">
      <c r="A196">
        <v>195</v>
      </c>
      <c r="B196" s="9">
        <v>45644</v>
      </c>
      <c r="C196">
        <v>6</v>
      </c>
      <c r="D196">
        <v>116</v>
      </c>
      <c r="E196">
        <v>71</v>
      </c>
      <c r="F196">
        <v>1</v>
      </c>
      <c r="G196">
        <v>225.61</v>
      </c>
      <c r="H196">
        <v>0</v>
      </c>
      <c r="I196">
        <v>225.61</v>
      </c>
    </row>
    <row r="197" spans="1:9" x14ac:dyDescent="0.25">
      <c r="A197">
        <v>196</v>
      </c>
      <c r="B197" s="9">
        <v>45162</v>
      </c>
      <c r="C197">
        <v>5</v>
      </c>
      <c r="D197">
        <v>62</v>
      </c>
      <c r="E197">
        <v>31</v>
      </c>
      <c r="F197">
        <v>1</v>
      </c>
      <c r="G197">
        <v>165.45</v>
      </c>
      <c r="H197">
        <v>0</v>
      </c>
      <c r="I197">
        <v>165.45</v>
      </c>
    </row>
    <row r="198" spans="1:9" x14ac:dyDescent="0.25">
      <c r="A198">
        <v>197</v>
      </c>
      <c r="B198" s="9">
        <v>45390</v>
      </c>
      <c r="C198">
        <v>7</v>
      </c>
      <c r="D198">
        <v>182</v>
      </c>
      <c r="E198">
        <v>39</v>
      </c>
      <c r="F198">
        <v>1</v>
      </c>
      <c r="G198">
        <v>181.34</v>
      </c>
      <c r="H198">
        <v>0.05</v>
      </c>
      <c r="I198">
        <v>172.27</v>
      </c>
    </row>
    <row r="199" spans="1:9" x14ac:dyDescent="0.25">
      <c r="A199">
        <v>198</v>
      </c>
      <c r="B199" s="9">
        <v>44980</v>
      </c>
      <c r="C199">
        <v>5</v>
      </c>
      <c r="D199">
        <v>63</v>
      </c>
      <c r="E199">
        <v>69</v>
      </c>
      <c r="F199">
        <v>1</v>
      </c>
      <c r="G199">
        <v>22.86</v>
      </c>
      <c r="H199">
        <v>0</v>
      </c>
      <c r="I199">
        <v>22.86</v>
      </c>
    </row>
    <row r="200" spans="1:9" x14ac:dyDescent="0.25">
      <c r="A200">
        <v>199</v>
      </c>
      <c r="B200" s="9">
        <v>44986</v>
      </c>
      <c r="C200">
        <v>3</v>
      </c>
      <c r="D200">
        <v>110</v>
      </c>
      <c r="E200">
        <v>41</v>
      </c>
      <c r="F200">
        <v>1</v>
      </c>
      <c r="G200">
        <v>45.5</v>
      </c>
      <c r="H200">
        <v>0</v>
      </c>
      <c r="I200">
        <v>45.5</v>
      </c>
    </row>
    <row r="201" spans="1:9" x14ac:dyDescent="0.25">
      <c r="A201">
        <v>200</v>
      </c>
      <c r="B201" s="9">
        <v>45486</v>
      </c>
      <c r="C201">
        <v>5</v>
      </c>
      <c r="D201">
        <v>25</v>
      </c>
      <c r="E201">
        <v>53</v>
      </c>
      <c r="F201">
        <v>1</v>
      </c>
      <c r="G201">
        <v>229.6</v>
      </c>
      <c r="H201">
        <v>0.1</v>
      </c>
      <c r="I201">
        <v>206.64</v>
      </c>
    </row>
    <row r="202" spans="1:9" x14ac:dyDescent="0.25">
      <c r="A202">
        <v>201</v>
      </c>
      <c r="B202" s="9">
        <v>45622</v>
      </c>
      <c r="C202">
        <v>6</v>
      </c>
      <c r="D202">
        <v>62</v>
      </c>
      <c r="E202">
        <v>95</v>
      </c>
      <c r="F202">
        <v>1</v>
      </c>
      <c r="G202">
        <v>201.94</v>
      </c>
      <c r="H202">
        <v>0</v>
      </c>
      <c r="I202">
        <v>201.94</v>
      </c>
    </row>
    <row r="203" spans="1:9" x14ac:dyDescent="0.25">
      <c r="A203">
        <v>202</v>
      </c>
      <c r="B203" s="9">
        <v>44939</v>
      </c>
      <c r="C203">
        <v>3</v>
      </c>
      <c r="D203">
        <v>177</v>
      </c>
      <c r="E203">
        <v>82</v>
      </c>
      <c r="F203">
        <v>2</v>
      </c>
      <c r="G203">
        <v>151.85</v>
      </c>
      <c r="H203">
        <v>0</v>
      </c>
      <c r="I203">
        <v>303.7</v>
      </c>
    </row>
    <row r="204" spans="1:9" x14ac:dyDescent="0.25">
      <c r="A204">
        <v>203</v>
      </c>
      <c r="B204" s="9">
        <v>45220</v>
      </c>
      <c r="C204">
        <v>7</v>
      </c>
      <c r="D204">
        <v>201</v>
      </c>
      <c r="E204">
        <v>96</v>
      </c>
      <c r="F204">
        <v>1</v>
      </c>
      <c r="G204">
        <v>132.69</v>
      </c>
      <c r="H204">
        <v>0</v>
      </c>
      <c r="I204">
        <v>132.69</v>
      </c>
    </row>
    <row r="205" spans="1:9" x14ac:dyDescent="0.25">
      <c r="A205">
        <v>204</v>
      </c>
      <c r="B205" s="9">
        <v>45069</v>
      </c>
      <c r="C205">
        <v>3</v>
      </c>
      <c r="D205">
        <v>189</v>
      </c>
      <c r="E205">
        <v>34</v>
      </c>
      <c r="F205">
        <v>1</v>
      </c>
      <c r="G205">
        <v>247.04</v>
      </c>
      <c r="H205">
        <v>0.05</v>
      </c>
      <c r="I205">
        <v>234.69</v>
      </c>
    </row>
    <row r="206" spans="1:9" x14ac:dyDescent="0.25">
      <c r="A206">
        <v>205</v>
      </c>
      <c r="B206" s="9">
        <v>44989</v>
      </c>
      <c r="C206">
        <v>2</v>
      </c>
      <c r="D206">
        <v>44</v>
      </c>
      <c r="E206">
        <v>59</v>
      </c>
      <c r="F206">
        <v>1</v>
      </c>
      <c r="G206">
        <v>17.41</v>
      </c>
      <c r="H206">
        <v>0.1</v>
      </c>
      <c r="I206">
        <v>15.67</v>
      </c>
    </row>
    <row r="207" spans="1:9" x14ac:dyDescent="0.25">
      <c r="A207">
        <v>206</v>
      </c>
      <c r="B207" s="9">
        <v>45367</v>
      </c>
      <c r="C207">
        <v>7</v>
      </c>
      <c r="D207">
        <v>194</v>
      </c>
      <c r="E207">
        <v>95</v>
      </c>
      <c r="F207">
        <v>2</v>
      </c>
      <c r="G207">
        <v>201.94</v>
      </c>
      <c r="H207">
        <v>0</v>
      </c>
      <c r="I207">
        <v>403.88</v>
      </c>
    </row>
    <row r="208" spans="1:9" x14ac:dyDescent="0.25">
      <c r="A208">
        <v>207</v>
      </c>
      <c r="B208" s="9">
        <v>45786</v>
      </c>
      <c r="C208">
        <v>8</v>
      </c>
      <c r="D208">
        <v>168</v>
      </c>
      <c r="E208">
        <v>44</v>
      </c>
      <c r="F208">
        <v>1</v>
      </c>
      <c r="G208">
        <v>235.19</v>
      </c>
      <c r="H208">
        <v>0</v>
      </c>
      <c r="I208">
        <v>235.19</v>
      </c>
    </row>
    <row r="209" spans="1:9" x14ac:dyDescent="0.25">
      <c r="A209">
        <v>208</v>
      </c>
      <c r="B209" s="9">
        <v>45625</v>
      </c>
      <c r="C209">
        <v>3</v>
      </c>
      <c r="D209">
        <v>112</v>
      </c>
      <c r="E209">
        <v>89</v>
      </c>
      <c r="F209">
        <v>1</v>
      </c>
      <c r="G209">
        <v>247.43</v>
      </c>
      <c r="H209">
        <v>0.05</v>
      </c>
      <c r="I209">
        <v>235.06</v>
      </c>
    </row>
    <row r="210" spans="1:9" x14ac:dyDescent="0.25">
      <c r="A210">
        <v>209</v>
      </c>
      <c r="B210" s="9">
        <v>45684</v>
      </c>
      <c r="C210">
        <v>5</v>
      </c>
      <c r="D210">
        <v>199</v>
      </c>
      <c r="E210">
        <v>76</v>
      </c>
      <c r="F210">
        <v>2</v>
      </c>
      <c r="G210">
        <v>181.01</v>
      </c>
      <c r="H210">
        <v>0</v>
      </c>
      <c r="I210">
        <v>362.02</v>
      </c>
    </row>
    <row r="211" spans="1:9" x14ac:dyDescent="0.25">
      <c r="A211">
        <v>210</v>
      </c>
      <c r="B211" s="9">
        <v>45591</v>
      </c>
      <c r="C211">
        <v>2</v>
      </c>
      <c r="D211">
        <v>34</v>
      </c>
      <c r="E211">
        <v>69</v>
      </c>
      <c r="F211">
        <v>1</v>
      </c>
      <c r="G211">
        <v>22.86</v>
      </c>
      <c r="H211">
        <v>0.1</v>
      </c>
      <c r="I211">
        <v>20.57</v>
      </c>
    </row>
    <row r="212" spans="1:9" x14ac:dyDescent="0.25">
      <c r="A212">
        <v>211</v>
      </c>
      <c r="B212" s="9">
        <v>45034</v>
      </c>
      <c r="C212">
        <v>3</v>
      </c>
      <c r="D212">
        <v>23</v>
      </c>
      <c r="E212">
        <v>95</v>
      </c>
      <c r="F212">
        <v>1</v>
      </c>
      <c r="G212">
        <v>201.94</v>
      </c>
      <c r="H212">
        <v>0.1</v>
      </c>
      <c r="I212">
        <v>181.75</v>
      </c>
    </row>
    <row r="213" spans="1:9" x14ac:dyDescent="0.25">
      <c r="A213">
        <v>212</v>
      </c>
      <c r="B213" s="9">
        <v>45249</v>
      </c>
      <c r="C213">
        <v>1</v>
      </c>
      <c r="D213">
        <v>162</v>
      </c>
      <c r="E213">
        <v>17</v>
      </c>
      <c r="F213">
        <v>1</v>
      </c>
      <c r="G213">
        <v>97.14</v>
      </c>
      <c r="H213">
        <v>0</v>
      </c>
      <c r="I213">
        <v>97.14</v>
      </c>
    </row>
    <row r="214" spans="1:9" x14ac:dyDescent="0.25">
      <c r="A214">
        <v>213</v>
      </c>
      <c r="B214" s="9">
        <v>45094</v>
      </c>
      <c r="C214">
        <v>5</v>
      </c>
      <c r="D214">
        <v>29</v>
      </c>
      <c r="E214">
        <v>5</v>
      </c>
      <c r="F214">
        <v>1</v>
      </c>
      <c r="G214">
        <v>55.26</v>
      </c>
      <c r="H214">
        <v>0.15</v>
      </c>
      <c r="I214">
        <v>46.97</v>
      </c>
    </row>
    <row r="215" spans="1:9" x14ac:dyDescent="0.25">
      <c r="A215">
        <v>214</v>
      </c>
      <c r="B215" s="9">
        <v>45834</v>
      </c>
      <c r="C215">
        <v>7</v>
      </c>
      <c r="D215">
        <v>102</v>
      </c>
      <c r="E215">
        <v>26</v>
      </c>
      <c r="F215">
        <v>2</v>
      </c>
      <c r="G215">
        <v>211.87</v>
      </c>
      <c r="H215">
        <v>0.05</v>
      </c>
      <c r="I215">
        <v>402.55</v>
      </c>
    </row>
    <row r="216" spans="1:9" x14ac:dyDescent="0.25">
      <c r="A216">
        <v>215</v>
      </c>
      <c r="B216" s="9">
        <v>45921</v>
      </c>
      <c r="C216">
        <v>8</v>
      </c>
      <c r="D216">
        <v>190</v>
      </c>
      <c r="E216">
        <v>95</v>
      </c>
      <c r="F216">
        <v>2</v>
      </c>
      <c r="G216">
        <v>201.94</v>
      </c>
      <c r="H216">
        <v>0</v>
      </c>
      <c r="I216">
        <v>403.88</v>
      </c>
    </row>
    <row r="217" spans="1:9" x14ac:dyDescent="0.25">
      <c r="A217">
        <v>216</v>
      </c>
      <c r="B217" s="9">
        <v>45775</v>
      </c>
      <c r="C217">
        <v>5</v>
      </c>
      <c r="D217">
        <v>182</v>
      </c>
      <c r="E217">
        <v>46</v>
      </c>
      <c r="F217">
        <v>1</v>
      </c>
      <c r="G217">
        <v>157</v>
      </c>
      <c r="H217">
        <v>0.15</v>
      </c>
      <c r="I217">
        <v>133.44999999999999</v>
      </c>
    </row>
    <row r="218" spans="1:9" x14ac:dyDescent="0.25">
      <c r="A218">
        <v>217</v>
      </c>
      <c r="B218" s="9">
        <v>45368</v>
      </c>
      <c r="C218">
        <v>2</v>
      </c>
      <c r="D218">
        <v>24</v>
      </c>
      <c r="E218">
        <v>19</v>
      </c>
      <c r="F218">
        <v>1</v>
      </c>
      <c r="G218">
        <v>138.31</v>
      </c>
      <c r="H218">
        <v>0.1</v>
      </c>
      <c r="I218">
        <v>124.48</v>
      </c>
    </row>
    <row r="219" spans="1:9" x14ac:dyDescent="0.25">
      <c r="A219">
        <v>218</v>
      </c>
      <c r="B219" s="9">
        <v>45633</v>
      </c>
      <c r="C219">
        <v>7</v>
      </c>
      <c r="D219">
        <v>145</v>
      </c>
      <c r="E219">
        <v>65</v>
      </c>
      <c r="F219">
        <v>1</v>
      </c>
      <c r="G219">
        <v>71.14</v>
      </c>
      <c r="H219">
        <v>0.05</v>
      </c>
      <c r="I219">
        <v>67.58</v>
      </c>
    </row>
    <row r="220" spans="1:9" x14ac:dyDescent="0.25">
      <c r="A220">
        <v>219</v>
      </c>
      <c r="B220" s="9">
        <v>45154</v>
      </c>
      <c r="C220">
        <v>5</v>
      </c>
      <c r="D220">
        <v>206</v>
      </c>
      <c r="E220">
        <v>86</v>
      </c>
      <c r="F220">
        <v>2</v>
      </c>
      <c r="G220">
        <v>99.19</v>
      </c>
      <c r="H220">
        <v>0</v>
      </c>
      <c r="I220">
        <v>198.38</v>
      </c>
    </row>
    <row r="221" spans="1:9" x14ac:dyDescent="0.25">
      <c r="A221">
        <v>220</v>
      </c>
      <c r="B221" s="9">
        <v>45923</v>
      </c>
      <c r="C221">
        <v>5</v>
      </c>
      <c r="D221">
        <v>33</v>
      </c>
      <c r="E221">
        <v>13</v>
      </c>
      <c r="F221">
        <v>3</v>
      </c>
      <c r="G221">
        <v>262.70999999999998</v>
      </c>
      <c r="H221">
        <v>0</v>
      </c>
      <c r="I221">
        <v>788.13</v>
      </c>
    </row>
    <row r="222" spans="1:9" x14ac:dyDescent="0.25">
      <c r="A222">
        <v>221</v>
      </c>
      <c r="B222" s="9">
        <v>45020</v>
      </c>
      <c r="C222">
        <v>4</v>
      </c>
      <c r="D222">
        <v>108</v>
      </c>
      <c r="E222">
        <v>33</v>
      </c>
      <c r="F222">
        <v>2</v>
      </c>
      <c r="G222">
        <v>21.23</v>
      </c>
      <c r="H222">
        <v>0.05</v>
      </c>
      <c r="I222">
        <v>40.340000000000003</v>
      </c>
    </row>
    <row r="223" spans="1:9" x14ac:dyDescent="0.25">
      <c r="A223">
        <v>222</v>
      </c>
      <c r="B223" s="9">
        <v>45736</v>
      </c>
      <c r="C223">
        <v>1</v>
      </c>
      <c r="D223">
        <v>147</v>
      </c>
      <c r="E223">
        <v>30</v>
      </c>
      <c r="F223">
        <v>1</v>
      </c>
      <c r="G223">
        <v>19.399999999999999</v>
      </c>
      <c r="H223">
        <v>0.05</v>
      </c>
      <c r="I223">
        <v>18.43</v>
      </c>
    </row>
    <row r="224" spans="1:9" x14ac:dyDescent="0.25">
      <c r="A224">
        <v>223</v>
      </c>
      <c r="B224" s="9">
        <v>44942</v>
      </c>
      <c r="C224">
        <v>4</v>
      </c>
      <c r="D224">
        <v>68</v>
      </c>
      <c r="E224">
        <v>84</v>
      </c>
      <c r="F224">
        <v>1</v>
      </c>
      <c r="G224">
        <v>26.78</v>
      </c>
      <c r="H224">
        <v>0</v>
      </c>
      <c r="I224">
        <v>26.78</v>
      </c>
    </row>
    <row r="225" spans="1:9" x14ac:dyDescent="0.25">
      <c r="A225">
        <v>224</v>
      </c>
      <c r="B225" s="9">
        <v>45544</v>
      </c>
      <c r="C225">
        <v>4</v>
      </c>
      <c r="D225">
        <v>217</v>
      </c>
      <c r="E225">
        <v>74</v>
      </c>
      <c r="F225">
        <v>1</v>
      </c>
      <c r="G225">
        <v>205.01</v>
      </c>
      <c r="H225">
        <v>0.1</v>
      </c>
      <c r="I225">
        <v>184.51</v>
      </c>
    </row>
    <row r="226" spans="1:9" x14ac:dyDescent="0.25">
      <c r="A226">
        <v>225</v>
      </c>
      <c r="B226" s="9">
        <v>45208</v>
      </c>
      <c r="C226">
        <v>5</v>
      </c>
      <c r="D226">
        <v>67</v>
      </c>
      <c r="E226">
        <v>96</v>
      </c>
      <c r="F226">
        <v>1</v>
      </c>
      <c r="G226">
        <v>132.69</v>
      </c>
      <c r="H226">
        <v>0</v>
      </c>
      <c r="I226">
        <v>132.69</v>
      </c>
    </row>
    <row r="227" spans="1:9" x14ac:dyDescent="0.25">
      <c r="A227">
        <v>226</v>
      </c>
      <c r="B227" s="9">
        <v>45519</v>
      </c>
      <c r="C227">
        <v>6</v>
      </c>
      <c r="D227">
        <v>55</v>
      </c>
      <c r="E227">
        <v>8</v>
      </c>
      <c r="F227">
        <v>1</v>
      </c>
      <c r="G227">
        <v>259.11</v>
      </c>
      <c r="H227">
        <v>0</v>
      </c>
      <c r="I227">
        <v>259.11</v>
      </c>
    </row>
    <row r="228" spans="1:9" x14ac:dyDescent="0.25">
      <c r="A228">
        <v>227</v>
      </c>
      <c r="B228" s="9">
        <v>45172</v>
      </c>
      <c r="C228">
        <v>1</v>
      </c>
      <c r="D228">
        <v>14</v>
      </c>
      <c r="E228">
        <v>62</v>
      </c>
      <c r="F228">
        <v>1</v>
      </c>
      <c r="G228">
        <v>82.81</v>
      </c>
      <c r="H228">
        <v>0</v>
      </c>
      <c r="I228">
        <v>82.81</v>
      </c>
    </row>
    <row r="229" spans="1:9" x14ac:dyDescent="0.25">
      <c r="A229">
        <v>228</v>
      </c>
      <c r="B229" s="9">
        <v>45945</v>
      </c>
      <c r="C229">
        <v>7</v>
      </c>
      <c r="D229">
        <v>132</v>
      </c>
      <c r="E229">
        <v>77</v>
      </c>
      <c r="F229">
        <v>1</v>
      </c>
      <c r="G229">
        <v>226.88</v>
      </c>
      <c r="H229">
        <v>0.2</v>
      </c>
      <c r="I229">
        <v>181.5</v>
      </c>
    </row>
    <row r="230" spans="1:9" x14ac:dyDescent="0.25">
      <c r="A230">
        <v>229</v>
      </c>
      <c r="B230" s="9">
        <v>45286</v>
      </c>
      <c r="C230">
        <v>3</v>
      </c>
      <c r="D230">
        <v>149</v>
      </c>
      <c r="E230">
        <v>19</v>
      </c>
      <c r="F230">
        <v>2</v>
      </c>
      <c r="G230">
        <v>138.31</v>
      </c>
      <c r="H230">
        <v>0</v>
      </c>
      <c r="I230">
        <v>276.62</v>
      </c>
    </row>
    <row r="231" spans="1:9" x14ac:dyDescent="0.25">
      <c r="A231">
        <v>230</v>
      </c>
      <c r="B231" s="9">
        <v>45705</v>
      </c>
      <c r="C231">
        <v>4</v>
      </c>
      <c r="D231">
        <v>22</v>
      </c>
      <c r="E231">
        <v>94</v>
      </c>
      <c r="F231">
        <v>1</v>
      </c>
      <c r="G231">
        <v>163.66</v>
      </c>
      <c r="H231">
        <v>0.05</v>
      </c>
      <c r="I231">
        <v>155.47999999999999</v>
      </c>
    </row>
    <row r="232" spans="1:9" x14ac:dyDescent="0.25">
      <c r="A232">
        <v>231</v>
      </c>
      <c r="B232" s="9">
        <v>45951</v>
      </c>
      <c r="C232">
        <v>6</v>
      </c>
      <c r="D232">
        <v>204</v>
      </c>
      <c r="E232">
        <v>63</v>
      </c>
      <c r="F232">
        <v>2</v>
      </c>
      <c r="G232">
        <v>239.9</v>
      </c>
      <c r="H232">
        <v>0.05</v>
      </c>
      <c r="I232">
        <v>455.81</v>
      </c>
    </row>
    <row r="233" spans="1:9" x14ac:dyDescent="0.25">
      <c r="A233">
        <v>232</v>
      </c>
      <c r="B233" s="9">
        <v>45074</v>
      </c>
      <c r="C233">
        <v>7</v>
      </c>
      <c r="D233">
        <v>29</v>
      </c>
      <c r="E233">
        <v>4</v>
      </c>
      <c r="F233">
        <v>1</v>
      </c>
      <c r="G233">
        <v>168</v>
      </c>
      <c r="H233">
        <v>0.1</v>
      </c>
      <c r="I233">
        <v>151.19999999999999</v>
      </c>
    </row>
    <row r="234" spans="1:9" x14ac:dyDescent="0.25">
      <c r="A234">
        <v>233</v>
      </c>
      <c r="B234" s="9">
        <v>45013</v>
      </c>
      <c r="C234">
        <v>7</v>
      </c>
      <c r="D234">
        <v>116</v>
      </c>
      <c r="E234">
        <v>97</v>
      </c>
      <c r="F234">
        <v>1</v>
      </c>
      <c r="G234">
        <v>158.26</v>
      </c>
      <c r="H234">
        <v>0.15</v>
      </c>
      <c r="I234">
        <v>134.52000000000001</v>
      </c>
    </row>
    <row r="235" spans="1:9" x14ac:dyDescent="0.25">
      <c r="A235">
        <v>234</v>
      </c>
      <c r="B235" s="9">
        <v>44965</v>
      </c>
      <c r="C235">
        <v>8</v>
      </c>
      <c r="D235">
        <v>182</v>
      </c>
      <c r="E235">
        <v>54</v>
      </c>
      <c r="F235">
        <v>2</v>
      </c>
      <c r="G235">
        <v>245.9</v>
      </c>
      <c r="H235">
        <v>0</v>
      </c>
      <c r="I235">
        <v>491.8</v>
      </c>
    </row>
    <row r="236" spans="1:9" x14ac:dyDescent="0.25">
      <c r="A236">
        <v>235</v>
      </c>
      <c r="B236" s="9">
        <v>45086</v>
      </c>
      <c r="C236">
        <v>6</v>
      </c>
      <c r="D236">
        <v>27</v>
      </c>
      <c r="E236">
        <v>46</v>
      </c>
      <c r="F236">
        <v>1</v>
      </c>
      <c r="G236">
        <v>157</v>
      </c>
      <c r="H236">
        <v>0</v>
      </c>
      <c r="I236">
        <v>157</v>
      </c>
    </row>
    <row r="237" spans="1:9" x14ac:dyDescent="0.25">
      <c r="A237">
        <v>236</v>
      </c>
      <c r="B237" s="9">
        <v>45806</v>
      </c>
      <c r="C237">
        <v>7</v>
      </c>
      <c r="D237">
        <v>114</v>
      </c>
      <c r="E237">
        <v>14</v>
      </c>
      <c r="F237">
        <v>2</v>
      </c>
      <c r="G237">
        <v>70.08</v>
      </c>
      <c r="H237">
        <v>0</v>
      </c>
      <c r="I237">
        <v>140.16</v>
      </c>
    </row>
    <row r="238" spans="1:9" x14ac:dyDescent="0.25">
      <c r="A238">
        <v>237</v>
      </c>
      <c r="B238" s="9">
        <v>45782</v>
      </c>
      <c r="C238">
        <v>5</v>
      </c>
      <c r="D238">
        <v>179</v>
      </c>
      <c r="E238">
        <v>73</v>
      </c>
      <c r="F238">
        <v>1</v>
      </c>
      <c r="G238">
        <v>8.39</v>
      </c>
      <c r="H238">
        <v>0</v>
      </c>
      <c r="I238">
        <v>8.39</v>
      </c>
    </row>
    <row r="239" spans="1:9" x14ac:dyDescent="0.25">
      <c r="A239">
        <v>238</v>
      </c>
      <c r="B239" s="9">
        <v>45162</v>
      </c>
      <c r="C239">
        <v>7</v>
      </c>
      <c r="D239">
        <v>108</v>
      </c>
      <c r="E239">
        <v>42</v>
      </c>
      <c r="F239">
        <v>1</v>
      </c>
      <c r="G239">
        <v>127.97</v>
      </c>
      <c r="H239">
        <v>0</v>
      </c>
      <c r="I239">
        <v>127.97</v>
      </c>
    </row>
    <row r="240" spans="1:9" x14ac:dyDescent="0.25">
      <c r="A240">
        <v>239</v>
      </c>
      <c r="B240" s="9">
        <v>44969</v>
      </c>
      <c r="C240">
        <v>6</v>
      </c>
      <c r="D240">
        <v>185</v>
      </c>
      <c r="E240">
        <v>30</v>
      </c>
      <c r="F240">
        <v>2</v>
      </c>
      <c r="G240">
        <v>19.399999999999999</v>
      </c>
      <c r="H240">
        <v>0.15</v>
      </c>
      <c r="I240">
        <v>32.979999999999997</v>
      </c>
    </row>
    <row r="241" spans="1:9" x14ac:dyDescent="0.25">
      <c r="A241">
        <v>240</v>
      </c>
      <c r="B241" s="9">
        <v>45278</v>
      </c>
      <c r="C241">
        <v>8</v>
      </c>
      <c r="D241">
        <v>2</v>
      </c>
      <c r="E241">
        <v>59</v>
      </c>
      <c r="F241">
        <v>2</v>
      </c>
      <c r="G241">
        <v>17.41</v>
      </c>
      <c r="H241">
        <v>0.15</v>
      </c>
      <c r="I241">
        <v>29.6</v>
      </c>
    </row>
    <row r="242" spans="1:9" x14ac:dyDescent="0.25">
      <c r="A242">
        <v>241</v>
      </c>
      <c r="B242" s="9">
        <v>45668</v>
      </c>
      <c r="C242">
        <v>2</v>
      </c>
      <c r="D242">
        <v>149</v>
      </c>
      <c r="E242">
        <v>17</v>
      </c>
      <c r="F242">
        <v>1</v>
      </c>
      <c r="G242">
        <v>97.14</v>
      </c>
      <c r="H242">
        <v>0.05</v>
      </c>
      <c r="I242">
        <v>92.28</v>
      </c>
    </row>
    <row r="243" spans="1:9" x14ac:dyDescent="0.25">
      <c r="A243">
        <v>242</v>
      </c>
      <c r="B243" s="9">
        <v>45821</v>
      </c>
      <c r="C243">
        <v>2</v>
      </c>
      <c r="D243">
        <v>202</v>
      </c>
      <c r="E243">
        <v>55</v>
      </c>
      <c r="F243">
        <v>1</v>
      </c>
      <c r="G243">
        <v>193.33</v>
      </c>
      <c r="H243">
        <v>0.15</v>
      </c>
      <c r="I243">
        <v>164.33</v>
      </c>
    </row>
    <row r="244" spans="1:9" x14ac:dyDescent="0.25">
      <c r="A244">
        <v>243</v>
      </c>
      <c r="B244" s="9">
        <v>45425</v>
      </c>
      <c r="C244">
        <v>7</v>
      </c>
      <c r="D244">
        <v>168</v>
      </c>
      <c r="E244">
        <v>16</v>
      </c>
      <c r="F244">
        <v>1</v>
      </c>
      <c r="G244">
        <v>62.77</v>
      </c>
      <c r="H244">
        <v>0</v>
      </c>
      <c r="I244">
        <v>62.77</v>
      </c>
    </row>
    <row r="245" spans="1:9" x14ac:dyDescent="0.25">
      <c r="A245">
        <v>244</v>
      </c>
      <c r="B245" s="9">
        <v>45747</v>
      </c>
      <c r="C245">
        <v>2</v>
      </c>
      <c r="D245">
        <v>165</v>
      </c>
      <c r="E245">
        <v>83</v>
      </c>
      <c r="F245">
        <v>3</v>
      </c>
      <c r="G245">
        <v>109.16</v>
      </c>
      <c r="H245">
        <v>0</v>
      </c>
      <c r="I245">
        <v>327.48</v>
      </c>
    </row>
    <row r="246" spans="1:9" x14ac:dyDescent="0.25">
      <c r="A246">
        <v>245</v>
      </c>
      <c r="B246" s="9">
        <v>45737</v>
      </c>
      <c r="C246">
        <v>5</v>
      </c>
      <c r="D246">
        <v>205</v>
      </c>
      <c r="E246">
        <v>25</v>
      </c>
      <c r="F246">
        <v>1</v>
      </c>
      <c r="G246">
        <v>117.41</v>
      </c>
      <c r="H246">
        <v>0</v>
      </c>
      <c r="I246">
        <v>117.41</v>
      </c>
    </row>
    <row r="247" spans="1:9" x14ac:dyDescent="0.25">
      <c r="A247">
        <v>246</v>
      </c>
      <c r="B247" s="9">
        <v>45622</v>
      </c>
      <c r="C247">
        <v>4</v>
      </c>
      <c r="D247">
        <v>216</v>
      </c>
      <c r="E247">
        <v>40</v>
      </c>
      <c r="F247">
        <v>1</v>
      </c>
      <c r="G247">
        <v>144.41999999999999</v>
      </c>
      <c r="H247">
        <v>0</v>
      </c>
      <c r="I247">
        <v>144.41999999999999</v>
      </c>
    </row>
    <row r="248" spans="1:9" x14ac:dyDescent="0.25">
      <c r="A248">
        <v>247</v>
      </c>
      <c r="B248" s="9">
        <v>45609</v>
      </c>
      <c r="C248">
        <v>3</v>
      </c>
      <c r="D248">
        <v>5</v>
      </c>
      <c r="E248">
        <v>78</v>
      </c>
      <c r="F248">
        <v>1</v>
      </c>
      <c r="G248">
        <v>25.66</v>
      </c>
      <c r="H248">
        <v>0</v>
      </c>
      <c r="I248">
        <v>25.66</v>
      </c>
    </row>
    <row r="249" spans="1:9" x14ac:dyDescent="0.25">
      <c r="A249">
        <v>248</v>
      </c>
      <c r="B249" s="9">
        <v>45083</v>
      </c>
      <c r="C249">
        <v>2</v>
      </c>
      <c r="D249">
        <v>85</v>
      </c>
      <c r="E249">
        <v>30</v>
      </c>
      <c r="F249">
        <v>1</v>
      </c>
      <c r="G249">
        <v>19.399999999999999</v>
      </c>
      <c r="H249">
        <v>0</v>
      </c>
      <c r="I249">
        <v>19.399999999999999</v>
      </c>
    </row>
    <row r="250" spans="1:9" x14ac:dyDescent="0.25">
      <c r="A250">
        <v>249</v>
      </c>
      <c r="B250" s="9">
        <v>45971</v>
      </c>
      <c r="C250">
        <v>4</v>
      </c>
      <c r="D250">
        <v>158</v>
      </c>
      <c r="E250">
        <v>73</v>
      </c>
      <c r="F250">
        <v>1</v>
      </c>
      <c r="G250">
        <v>8.39</v>
      </c>
      <c r="H250">
        <v>0</v>
      </c>
      <c r="I250">
        <v>8.39</v>
      </c>
    </row>
    <row r="251" spans="1:9" x14ac:dyDescent="0.25">
      <c r="A251">
        <v>250</v>
      </c>
      <c r="B251" s="9">
        <v>45642</v>
      </c>
      <c r="C251">
        <v>6</v>
      </c>
      <c r="D251">
        <v>139</v>
      </c>
      <c r="E251">
        <v>7</v>
      </c>
      <c r="F251">
        <v>1</v>
      </c>
      <c r="G251">
        <v>21.72</v>
      </c>
      <c r="H251">
        <v>0</v>
      </c>
      <c r="I251">
        <v>21.72</v>
      </c>
    </row>
    <row r="252" spans="1:9" x14ac:dyDescent="0.25">
      <c r="A252">
        <v>251</v>
      </c>
      <c r="B252" s="9">
        <v>45229</v>
      </c>
      <c r="C252">
        <v>4</v>
      </c>
      <c r="D252">
        <v>67</v>
      </c>
      <c r="E252">
        <v>45</v>
      </c>
      <c r="F252">
        <v>1</v>
      </c>
      <c r="G252">
        <v>70.989999999999995</v>
      </c>
      <c r="H252">
        <v>0</v>
      </c>
      <c r="I252">
        <v>70.989999999999995</v>
      </c>
    </row>
    <row r="253" spans="1:9" x14ac:dyDescent="0.25">
      <c r="A253">
        <v>252</v>
      </c>
      <c r="B253" s="9">
        <v>45137</v>
      </c>
      <c r="C253">
        <v>3</v>
      </c>
      <c r="D253">
        <v>31</v>
      </c>
      <c r="E253">
        <v>5</v>
      </c>
      <c r="F253">
        <v>3</v>
      </c>
      <c r="G253">
        <v>55.26</v>
      </c>
      <c r="H253">
        <v>0</v>
      </c>
      <c r="I253">
        <v>165.78</v>
      </c>
    </row>
    <row r="254" spans="1:9" x14ac:dyDescent="0.25">
      <c r="A254">
        <v>253</v>
      </c>
      <c r="B254" s="9">
        <v>45451</v>
      </c>
      <c r="C254">
        <v>4</v>
      </c>
      <c r="D254">
        <v>191</v>
      </c>
      <c r="E254">
        <v>1</v>
      </c>
      <c r="F254">
        <v>1</v>
      </c>
      <c r="G254">
        <v>90.53</v>
      </c>
      <c r="H254">
        <v>0</v>
      </c>
      <c r="I254">
        <v>90.53</v>
      </c>
    </row>
    <row r="255" spans="1:9" x14ac:dyDescent="0.25">
      <c r="A255">
        <v>254</v>
      </c>
      <c r="B255" s="9">
        <v>45282</v>
      </c>
      <c r="C255">
        <v>3</v>
      </c>
      <c r="D255">
        <v>95</v>
      </c>
      <c r="E255">
        <v>36</v>
      </c>
      <c r="F255">
        <v>1</v>
      </c>
      <c r="G255">
        <v>211.43</v>
      </c>
      <c r="H255">
        <v>0.2</v>
      </c>
      <c r="I255">
        <v>169.14</v>
      </c>
    </row>
    <row r="256" spans="1:9" x14ac:dyDescent="0.25">
      <c r="A256">
        <v>255</v>
      </c>
      <c r="B256" s="9">
        <v>45081</v>
      </c>
      <c r="C256">
        <v>3</v>
      </c>
      <c r="D256">
        <v>47</v>
      </c>
      <c r="E256">
        <v>29</v>
      </c>
      <c r="F256">
        <v>1</v>
      </c>
      <c r="G256">
        <v>138.6</v>
      </c>
      <c r="H256">
        <v>0.2</v>
      </c>
      <c r="I256">
        <v>110.88</v>
      </c>
    </row>
    <row r="257" spans="1:9" x14ac:dyDescent="0.25">
      <c r="A257">
        <v>256</v>
      </c>
      <c r="B257" s="9">
        <v>45938</v>
      </c>
      <c r="C257">
        <v>8</v>
      </c>
      <c r="D257">
        <v>77</v>
      </c>
      <c r="E257">
        <v>34</v>
      </c>
      <c r="F257">
        <v>1</v>
      </c>
      <c r="G257">
        <v>247.04</v>
      </c>
      <c r="H257">
        <v>0</v>
      </c>
      <c r="I257">
        <v>247.04</v>
      </c>
    </row>
    <row r="258" spans="1:9" x14ac:dyDescent="0.25">
      <c r="A258">
        <v>257</v>
      </c>
      <c r="B258" s="9">
        <v>45846</v>
      </c>
      <c r="C258">
        <v>6</v>
      </c>
      <c r="D258">
        <v>183</v>
      </c>
      <c r="E258">
        <v>91</v>
      </c>
      <c r="F258">
        <v>1</v>
      </c>
      <c r="G258">
        <v>33.700000000000003</v>
      </c>
      <c r="H258">
        <v>0</v>
      </c>
      <c r="I258">
        <v>33.700000000000003</v>
      </c>
    </row>
    <row r="259" spans="1:9" x14ac:dyDescent="0.25">
      <c r="A259">
        <v>258</v>
      </c>
      <c r="B259" s="9">
        <v>45574</v>
      </c>
      <c r="C259">
        <v>3</v>
      </c>
      <c r="D259">
        <v>58</v>
      </c>
      <c r="E259">
        <v>74</v>
      </c>
      <c r="F259">
        <v>1</v>
      </c>
      <c r="G259">
        <v>205.01</v>
      </c>
      <c r="H259">
        <v>0</v>
      </c>
      <c r="I259">
        <v>205.01</v>
      </c>
    </row>
    <row r="260" spans="1:9" x14ac:dyDescent="0.25">
      <c r="A260">
        <v>259</v>
      </c>
      <c r="B260" s="9">
        <v>45827</v>
      </c>
      <c r="C260">
        <v>2</v>
      </c>
      <c r="D260">
        <v>216</v>
      </c>
      <c r="E260">
        <v>40</v>
      </c>
      <c r="F260">
        <v>1</v>
      </c>
      <c r="G260">
        <v>144.41999999999999</v>
      </c>
      <c r="H260">
        <v>0</v>
      </c>
      <c r="I260">
        <v>144.41999999999999</v>
      </c>
    </row>
    <row r="261" spans="1:9" x14ac:dyDescent="0.25">
      <c r="A261">
        <v>260</v>
      </c>
      <c r="B261" s="9">
        <v>45887</v>
      </c>
      <c r="C261">
        <v>8</v>
      </c>
      <c r="D261">
        <v>80</v>
      </c>
      <c r="E261">
        <v>57</v>
      </c>
      <c r="F261">
        <v>1</v>
      </c>
      <c r="G261">
        <v>32.28</v>
      </c>
      <c r="H261">
        <v>0</v>
      </c>
      <c r="I261">
        <v>32.28</v>
      </c>
    </row>
    <row r="262" spans="1:9" x14ac:dyDescent="0.25">
      <c r="A262">
        <v>261</v>
      </c>
      <c r="B262" s="9">
        <v>45547</v>
      </c>
      <c r="C262">
        <v>5</v>
      </c>
      <c r="D262">
        <v>36</v>
      </c>
      <c r="E262">
        <v>34</v>
      </c>
      <c r="F262">
        <v>1</v>
      </c>
      <c r="G262">
        <v>247.04</v>
      </c>
      <c r="H262">
        <v>0</v>
      </c>
      <c r="I262">
        <v>247.04</v>
      </c>
    </row>
    <row r="263" spans="1:9" x14ac:dyDescent="0.25">
      <c r="A263">
        <v>262</v>
      </c>
      <c r="B263" s="9">
        <v>45042</v>
      </c>
      <c r="C263">
        <v>6</v>
      </c>
      <c r="D263">
        <v>25</v>
      </c>
      <c r="E263">
        <v>80</v>
      </c>
      <c r="F263">
        <v>3</v>
      </c>
      <c r="G263">
        <v>33.380000000000003</v>
      </c>
      <c r="H263">
        <v>0</v>
      </c>
      <c r="I263">
        <v>100.14</v>
      </c>
    </row>
    <row r="264" spans="1:9" x14ac:dyDescent="0.25">
      <c r="A264">
        <v>263</v>
      </c>
      <c r="B264" s="9">
        <v>45966</v>
      </c>
      <c r="C264">
        <v>2</v>
      </c>
      <c r="D264">
        <v>211</v>
      </c>
      <c r="E264">
        <v>13</v>
      </c>
      <c r="F264">
        <v>1</v>
      </c>
      <c r="G264">
        <v>262.70999999999998</v>
      </c>
      <c r="H264">
        <v>0.05</v>
      </c>
      <c r="I264">
        <v>249.57</v>
      </c>
    </row>
    <row r="265" spans="1:9" x14ac:dyDescent="0.25">
      <c r="A265">
        <v>264</v>
      </c>
      <c r="B265" s="9">
        <v>45562</v>
      </c>
      <c r="C265">
        <v>8</v>
      </c>
      <c r="D265">
        <v>14</v>
      </c>
      <c r="E265">
        <v>31</v>
      </c>
      <c r="F265">
        <v>1</v>
      </c>
      <c r="G265">
        <v>165.45</v>
      </c>
      <c r="H265">
        <v>0</v>
      </c>
      <c r="I265">
        <v>165.45</v>
      </c>
    </row>
    <row r="266" spans="1:9" x14ac:dyDescent="0.25">
      <c r="A266">
        <v>265</v>
      </c>
      <c r="B266" s="9">
        <v>45852</v>
      </c>
      <c r="C266">
        <v>1</v>
      </c>
      <c r="D266">
        <v>183</v>
      </c>
      <c r="E266">
        <v>70</v>
      </c>
      <c r="F266">
        <v>1</v>
      </c>
      <c r="G266">
        <v>280.36</v>
      </c>
      <c r="H266">
        <v>0</v>
      </c>
      <c r="I266">
        <v>280.36</v>
      </c>
    </row>
    <row r="267" spans="1:9" x14ac:dyDescent="0.25">
      <c r="A267">
        <v>266</v>
      </c>
      <c r="B267" s="9">
        <v>45043</v>
      </c>
      <c r="C267">
        <v>6</v>
      </c>
      <c r="D267">
        <v>26</v>
      </c>
      <c r="E267">
        <v>100</v>
      </c>
      <c r="F267">
        <v>1</v>
      </c>
      <c r="G267">
        <v>39.06</v>
      </c>
      <c r="H267">
        <v>0</v>
      </c>
      <c r="I267">
        <v>39.06</v>
      </c>
    </row>
    <row r="268" spans="1:9" x14ac:dyDescent="0.25">
      <c r="A268">
        <v>267</v>
      </c>
      <c r="B268" s="9">
        <v>45514</v>
      </c>
      <c r="C268">
        <v>2</v>
      </c>
      <c r="D268">
        <v>155</v>
      </c>
      <c r="E268">
        <v>99</v>
      </c>
      <c r="F268">
        <v>1</v>
      </c>
      <c r="G268">
        <v>15.44</v>
      </c>
      <c r="H268">
        <v>0</v>
      </c>
      <c r="I268">
        <v>15.44</v>
      </c>
    </row>
    <row r="269" spans="1:9" x14ac:dyDescent="0.25">
      <c r="A269">
        <v>268</v>
      </c>
      <c r="B269" s="9">
        <v>45111</v>
      </c>
      <c r="C269">
        <v>7</v>
      </c>
      <c r="D269">
        <v>72</v>
      </c>
      <c r="E269">
        <v>38</v>
      </c>
      <c r="F269">
        <v>1</v>
      </c>
      <c r="G269">
        <v>35.35</v>
      </c>
      <c r="H269">
        <v>0.1</v>
      </c>
      <c r="I269">
        <v>31.82</v>
      </c>
    </row>
    <row r="270" spans="1:9" x14ac:dyDescent="0.25">
      <c r="A270">
        <v>269</v>
      </c>
      <c r="B270" s="9">
        <v>45874</v>
      </c>
      <c r="C270">
        <v>1</v>
      </c>
      <c r="D270">
        <v>27</v>
      </c>
      <c r="E270">
        <v>80</v>
      </c>
      <c r="F270">
        <v>1</v>
      </c>
      <c r="G270">
        <v>33.380000000000003</v>
      </c>
      <c r="H270">
        <v>0</v>
      </c>
      <c r="I270">
        <v>33.380000000000003</v>
      </c>
    </row>
    <row r="271" spans="1:9" x14ac:dyDescent="0.25">
      <c r="A271">
        <v>270</v>
      </c>
      <c r="B271" s="9">
        <v>45848</v>
      </c>
      <c r="C271">
        <v>4</v>
      </c>
      <c r="D271">
        <v>131</v>
      </c>
      <c r="E271">
        <v>100</v>
      </c>
      <c r="F271">
        <v>3</v>
      </c>
      <c r="G271">
        <v>39.06</v>
      </c>
      <c r="H271">
        <v>0</v>
      </c>
      <c r="I271">
        <v>117.18</v>
      </c>
    </row>
    <row r="272" spans="1:9" x14ac:dyDescent="0.25">
      <c r="A272">
        <v>271</v>
      </c>
      <c r="B272" s="9">
        <v>45585</v>
      </c>
      <c r="C272">
        <v>8</v>
      </c>
      <c r="D272">
        <v>12</v>
      </c>
      <c r="E272">
        <v>75</v>
      </c>
      <c r="F272">
        <v>2</v>
      </c>
      <c r="G272">
        <v>205.69</v>
      </c>
      <c r="H272">
        <v>0.05</v>
      </c>
      <c r="I272">
        <v>390.81</v>
      </c>
    </row>
    <row r="273" spans="1:9" x14ac:dyDescent="0.25">
      <c r="A273">
        <v>272</v>
      </c>
      <c r="B273" s="9">
        <v>45953</v>
      </c>
      <c r="C273">
        <v>3</v>
      </c>
      <c r="D273">
        <v>108</v>
      </c>
      <c r="E273">
        <v>7</v>
      </c>
      <c r="F273">
        <v>1</v>
      </c>
      <c r="G273">
        <v>21.72</v>
      </c>
      <c r="H273">
        <v>0</v>
      </c>
      <c r="I273">
        <v>21.72</v>
      </c>
    </row>
    <row r="274" spans="1:9" x14ac:dyDescent="0.25">
      <c r="A274">
        <v>273</v>
      </c>
      <c r="B274" s="9">
        <v>45053</v>
      </c>
      <c r="C274">
        <v>8</v>
      </c>
      <c r="D274">
        <v>119</v>
      </c>
      <c r="E274">
        <v>22</v>
      </c>
      <c r="F274">
        <v>2</v>
      </c>
      <c r="G274">
        <v>49.91</v>
      </c>
      <c r="H274">
        <v>0</v>
      </c>
      <c r="I274">
        <v>99.82</v>
      </c>
    </row>
    <row r="275" spans="1:9" x14ac:dyDescent="0.25">
      <c r="A275">
        <v>274</v>
      </c>
      <c r="B275" s="9">
        <v>45138</v>
      </c>
      <c r="C275">
        <v>6</v>
      </c>
      <c r="D275">
        <v>76</v>
      </c>
      <c r="E275">
        <v>87</v>
      </c>
      <c r="F275">
        <v>1</v>
      </c>
      <c r="G275">
        <v>223.85</v>
      </c>
      <c r="H275">
        <v>0.15</v>
      </c>
      <c r="I275">
        <v>190.27</v>
      </c>
    </row>
    <row r="276" spans="1:9" x14ac:dyDescent="0.25">
      <c r="A276">
        <v>275</v>
      </c>
      <c r="B276" s="9">
        <v>45099</v>
      </c>
      <c r="C276">
        <v>3</v>
      </c>
      <c r="D276">
        <v>26</v>
      </c>
      <c r="E276">
        <v>81</v>
      </c>
      <c r="F276">
        <v>3</v>
      </c>
      <c r="G276">
        <v>225.3</v>
      </c>
      <c r="H276">
        <v>0.2</v>
      </c>
      <c r="I276">
        <v>540.72</v>
      </c>
    </row>
    <row r="277" spans="1:9" x14ac:dyDescent="0.25">
      <c r="A277">
        <v>276</v>
      </c>
      <c r="B277" s="9">
        <v>45007</v>
      </c>
      <c r="C277">
        <v>4</v>
      </c>
      <c r="D277">
        <v>130</v>
      </c>
      <c r="E277">
        <v>43</v>
      </c>
      <c r="F277">
        <v>1</v>
      </c>
      <c r="G277">
        <v>16.04</v>
      </c>
      <c r="H277">
        <v>0</v>
      </c>
      <c r="I277">
        <v>16.04</v>
      </c>
    </row>
    <row r="278" spans="1:9" x14ac:dyDescent="0.25">
      <c r="A278">
        <v>277</v>
      </c>
      <c r="B278" s="9">
        <v>45823</v>
      </c>
      <c r="C278">
        <v>8</v>
      </c>
      <c r="D278">
        <v>119</v>
      </c>
      <c r="E278">
        <v>31</v>
      </c>
      <c r="F278">
        <v>2</v>
      </c>
      <c r="G278">
        <v>165.45</v>
      </c>
      <c r="H278">
        <v>0.05</v>
      </c>
      <c r="I278">
        <v>314.35000000000002</v>
      </c>
    </row>
    <row r="279" spans="1:9" x14ac:dyDescent="0.25">
      <c r="A279">
        <v>278</v>
      </c>
      <c r="B279" s="9">
        <v>45252</v>
      </c>
      <c r="C279">
        <v>6</v>
      </c>
      <c r="D279">
        <v>82</v>
      </c>
      <c r="E279">
        <v>52</v>
      </c>
      <c r="F279">
        <v>1</v>
      </c>
      <c r="G279">
        <v>196.75</v>
      </c>
      <c r="H279">
        <v>0.05</v>
      </c>
      <c r="I279">
        <v>186.91</v>
      </c>
    </row>
    <row r="280" spans="1:9" x14ac:dyDescent="0.25">
      <c r="A280">
        <v>279</v>
      </c>
      <c r="B280" s="9">
        <v>45690</v>
      </c>
      <c r="C280">
        <v>5</v>
      </c>
      <c r="D280">
        <v>204</v>
      </c>
      <c r="E280">
        <v>100</v>
      </c>
      <c r="F280">
        <v>1</v>
      </c>
      <c r="G280">
        <v>39.06</v>
      </c>
      <c r="H280">
        <v>0</v>
      </c>
      <c r="I280">
        <v>39.06</v>
      </c>
    </row>
    <row r="281" spans="1:9" x14ac:dyDescent="0.25">
      <c r="A281">
        <v>280</v>
      </c>
      <c r="B281" s="9">
        <v>45720</v>
      </c>
      <c r="C281">
        <v>7</v>
      </c>
      <c r="D281">
        <v>127</v>
      </c>
      <c r="E281">
        <v>68</v>
      </c>
      <c r="F281">
        <v>1</v>
      </c>
      <c r="G281">
        <v>198.56</v>
      </c>
      <c r="H281">
        <v>0</v>
      </c>
      <c r="I281">
        <v>198.56</v>
      </c>
    </row>
    <row r="282" spans="1:9" x14ac:dyDescent="0.25">
      <c r="A282">
        <v>281</v>
      </c>
      <c r="B282" s="9">
        <v>45619</v>
      </c>
      <c r="C282">
        <v>1</v>
      </c>
      <c r="D282">
        <v>173</v>
      </c>
      <c r="E282">
        <v>8</v>
      </c>
      <c r="F282">
        <v>1</v>
      </c>
      <c r="G282">
        <v>259.11</v>
      </c>
      <c r="H282">
        <v>0.1</v>
      </c>
      <c r="I282">
        <v>233.2</v>
      </c>
    </row>
    <row r="283" spans="1:9" x14ac:dyDescent="0.25">
      <c r="A283">
        <v>282</v>
      </c>
      <c r="B283" s="9">
        <v>45612</v>
      </c>
      <c r="C283">
        <v>2</v>
      </c>
      <c r="D283">
        <v>103</v>
      </c>
      <c r="E283">
        <v>47</v>
      </c>
      <c r="F283">
        <v>1</v>
      </c>
      <c r="G283">
        <v>93.41</v>
      </c>
      <c r="H283">
        <v>0</v>
      </c>
      <c r="I283">
        <v>93.41</v>
      </c>
    </row>
    <row r="284" spans="1:9" x14ac:dyDescent="0.25">
      <c r="A284">
        <v>283</v>
      </c>
      <c r="B284" s="9">
        <v>45602</v>
      </c>
      <c r="C284">
        <v>2</v>
      </c>
      <c r="D284">
        <v>88</v>
      </c>
      <c r="E284">
        <v>67</v>
      </c>
      <c r="F284">
        <v>1</v>
      </c>
      <c r="G284">
        <v>41.9</v>
      </c>
      <c r="H284">
        <v>0.15</v>
      </c>
      <c r="I284">
        <v>35.61</v>
      </c>
    </row>
    <row r="285" spans="1:9" x14ac:dyDescent="0.25">
      <c r="A285">
        <v>284</v>
      </c>
      <c r="B285" s="9">
        <v>45718</v>
      </c>
      <c r="C285">
        <v>5</v>
      </c>
      <c r="D285">
        <v>190</v>
      </c>
      <c r="E285">
        <v>93</v>
      </c>
      <c r="F285">
        <v>1</v>
      </c>
      <c r="G285">
        <v>239.23</v>
      </c>
      <c r="H285">
        <v>0.05</v>
      </c>
      <c r="I285">
        <v>227.27</v>
      </c>
    </row>
    <row r="286" spans="1:9" x14ac:dyDescent="0.25">
      <c r="A286">
        <v>285</v>
      </c>
      <c r="B286" s="9">
        <v>45443</v>
      </c>
      <c r="C286">
        <v>3</v>
      </c>
      <c r="D286">
        <v>148</v>
      </c>
      <c r="E286">
        <v>77</v>
      </c>
      <c r="F286">
        <v>1</v>
      </c>
      <c r="G286">
        <v>226.88</v>
      </c>
      <c r="H286">
        <v>0.2</v>
      </c>
      <c r="I286">
        <v>181.5</v>
      </c>
    </row>
    <row r="287" spans="1:9" x14ac:dyDescent="0.25">
      <c r="A287">
        <v>286</v>
      </c>
      <c r="B287" s="9">
        <v>45609</v>
      </c>
      <c r="C287">
        <v>2</v>
      </c>
      <c r="D287">
        <v>35</v>
      </c>
      <c r="E287">
        <v>83</v>
      </c>
      <c r="F287">
        <v>1</v>
      </c>
      <c r="G287">
        <v>109.16</v>
      </c>
      <c r="H287">
        <v>0.1</v>
      </c>
      <c r="I287">
        <v>98.24</v>
      </c>
    </row>
    <row r="288" spans="1:9" x14ac:dyDescent="0.25">
      <c r="A288">
        <v>287</v>
      </c>
      <c r="B288" s="9">
        <v>45216</v>
      </c>
      <c r="C288">
        <v>6</v>
      </c>
      <c r="D288">
        <v>80</v>
      </c>
      <c r="E288">
        <v>7</v>
      </c>
      <c r="F288">
        <v>1</v>
      </c>
      <c r="G288">
        <v>21.72</v>
      </c>
      <c r="H288">
        <v>0</v>
      </c>
      <c r="I288">
        <v>21.72</v>
      </c>
    </row>
    <row r="289" spans="1:9" x14ac:dyDescent="0.25">
      <c r="A289">
        <v>288</v>
      </c>
      <c r="B289" s="9">
        <v>45562</v>
      </c>
      <c r="C289">
        <v>7</v>
      </c>
      <c r="D289">
        <v>217</v>
      </c>
      <c r="E289">
        <v>90</v>
      </c>
      <c r="F289">
        <v>2</v>
      </c>
      <c r="G289">
        <v>122.32</v>
      </c>
      <c r="H289">
        <v>0.2</v>
      </c>
      <c r="I289">
        <v>195.71</v>
      </c>
    </row>
    <row r="290" spans="1:9" x14ac:dyDescent="0.25">
      <c r="A290">
        <v>289</v>
      </c>
      <c r="B290" s="9">
        <v>45191</v>
      </c>
      <c r="C290">
        <v>2</v>
      </c>
      <c r="D290">
        <v>167</v>
      </c>
      <c r="E290">
        <v>10</v>
      </c>
      <c r="F290">
        <v>1</v>
      </c>
      <c r="G290">
        <v>168.82</v>
      </c>
      <c r="H290">
        <v>0.05</v>
      </c>
      <c r="I290">
        <v>160.38</v>
      </c>
    </row>
    <row r="291" spans="1:9" x14ac:dyDescent="0.25">
      <c r="A291">
        <v>290</v>
      </c>
      <c r="B291" s="9">
        <v>45561</v>
      </c>
      <c r="C291">
        <v>7</v>
      </c>
      <c r="D291">
        <v>135</v>
      </c>
      <c r="E291">
        <v>72</v>
      </c>
      <c r="F291">
        <v>1</v>
      </c>
      <c r="G291">
        <v>50.75</v>
      </c>
      <c r="H291">
        <v>0</v>
      </c>
      <c r="I291">
        <v>50.75</v>
      </c>
    </row>
    <row r="292" spans="1:9" x14ac:dyDescent="0.25">
      <c r="A292">
        <v>291</v>
      </c>
      <c r="B292" s="9">
        <v>45599</v>
      </c>
      <c r="C292">
        <v>3</v>
      </c>
      <c r="D292">
        <v>216</v>
      </c>
      <c r="E292">
        <v>24</v>
      </c>
      <c r="F292">
        <v>5</v>
      </c>
      <c r="G292">
        <v>91.73</v>
      </c>
      <c r="H292">
        <v>0.1</v>
      </c>
      <c r="I292">
        <v>412.79</v>
      </c>
    </row>
    <row r="293" spans="1:9" x14ac:dyDescent="0.25">
      <c r="A293">
        <v>292</v>
      </c>
      <c r="B293" s="9">
        <v>45118</v>
      </c>
      <c r="C293">
        <v>7</v>
      </c>
      <c r="D293">
        <v>130</v>
      </c>
      <c r="E293">
        <v>74</v>
      </c>
      <c r="F293">
        <v>1</v>
      </c>
      <c r="G293">
        <v>205.01</v>
      </c>
      <c r="H293">
        <v>0</v>
      </c>
      <c r="I293">
        <v>205.01</v>
      </c>
    </row>
    <row r="294" spans="1:9" x14ac:dyDescent="0.25">
      <c r="A294">
        <v>293</v>
      </c>
      <c r="B294" s="9">
        <v>45968</v>
      </c>
      <c r="C294">
        <v>6</v>
      </c>
      <c r="D294">
        <v>42</v>
      </c>
      <c r="E294">
        <v>26</v>
      </c>
      <c r="F294">
        <v>2</v>
      </c>
      <c r="G294">
        <v>211.87</v>
      </c>
      <c r="H294">
        <v>0</v>
      </c>
      <c r="I294">
        <v>423.74</v>
      </c>
    </row>
    <row r="295" spans="1:9" x14ac:dyDescent="0.25">
      <c r="A295">
        <v>294</v>
      </c>
      <c r="B295" s="9">
        <v>44964</v>
      </c>
      <c r="C295">
        <v>6</v>
      </c>
      <c r="D295">
        <v>101</v>
      </c>
      <c r="E295">
        <v>27</v>
      </c>
      <c r="F295">
        <v>1</v>
      </c>
      <c r="G295">
        <v>66.790000000000006</v>
      </c>
      <c r="H295">
        <v>0</v>
      </c>
      <c r="I295">
        <v>66.790000000000006</v>
      </c>
    </row>
    <row r="296" spans="1:9" x14ac:dyDescent="0.25">
      <c r="A296">
        <v>295</v>
      </c>
      <c r="B296" s="9">
        <v>45559</v>
      </c>
      <c r="C296">
        <v>3</v>
      </c>
      <c r="D296">
        <v>34</v>
      </c>
      <c r="E296">
        <v>19</v>
      </c>
      <c r="F296">
        <v>1</v>
      </c>
      <c r="G296">
        <v>138.31</v>
      </c>
      <c r="H296">
        <v>0.1</v>
      </c>
      <c r="I296">
        <v>124.48</v>
      </c>
    </row>
    <row r="297" spans="1:9" x14ac:dyDescent="0.25">
      <c r="A297">
        <v>296</v>
      </c>
      <c r="B297" s="9">
        <v>45365</v>
      </c>
      <c r="C297">
        <v>6</v>
      </c>
      <c r="D297">
        <v>8</v>
      </c>
      <c r="E297">
        <v>82</v>
      </c>
      <c r="F297">
        <v>1</v>
      </c>
      <c r="G297">
        <v>151.85</v>
      </c>
      <c r="H297">
        <v>0</v>
      </c>
      <c r="I297">
        <v>151.85</v>
      </c>
    </row>
    <row r="298" spans="1:9" x14ac:dyDescent="0.25">
      <c r="A298">
        <v>297</v>
      </c>
      <c r="B298" s="9">
        <v>45922</v>
      </c>
      <c r="C298">
        <v>4</v>
      </c>
      <c r="D298">
        <v>201</v>
      </c>
      <c r="E298">
        <v>32</v>
      </c>
      <c r="F298">
        <v>1</v>
      </c>
      <c r="G298">
        <v>47.81</v>
      </c>
      <c r="H298">
        <v>0.05</v>
      </c>
      <c r="I298">
        <v>45.42</v>
      </c>
    </row>
    <row r="299" spans="1:9" x14ac:dyDescent="0.25">
      <c r="A299">
        <v>298</v>
      </c>
      <c r="B299" s="9">
        <v>45390</v>
      </c>
      <c r="C299">
        <v>3</v>
      </c>
      <c r="D299">
        <v>114</v>
      </c>
      <c r="E299">
        <v>92</v>
      </c>
      <c r="F299">
        <v>1</v>
      </c>
      <c r="G299">
        <v>223.32</v>
      </c>
      <c r="H299">
        <v>0</v>
      </c>
      <c r="I299">
        <v>223.32</v>
      </c>
    </row>
    <row r="300" spans="1:9" x14ac:dyDescent="0.25">
      <c r="A300">
        <v>299</v>
      </c>
      <c r="B300" s="9">
        <v>45244</v>
      </c>
      <c r="C300">
        <v>2</v>
      </c>
      <c r="D300">
        <v>54</v>
      </c>
      <c r="E300">
        <v>81</v>
      </c>
      <c r="F300">
        <v>1</v>
      </c>
      <c r="G300">
        <v>225.3</v>
      </c>
      <c r="H300">
        <v>0</v>
      </c>
      <c r="I300">
        <v>225.3</v>
      </c>
    </row>
    <row r="301" spans="1:9" x14ac:dyDescent="0.25">
      <c r="A301">
        <v>300</v>
      </c>
      <c r="B301" s="9">
        <v>45532</v>
      </c>
      <c r="C301">
        <v>2</v>
      </c>
      <c r="D301">
        <v>72</v>
      </c>
      <c r="E301">
        <v>22</v>
      </c>
      <c r="F301">
        <v>2</v>
      </c>
      <c r="G301">
        <v>49.91</v>
      </c>
      <c r="H301">
        <v>0</v>
      </c>
      <c r="I301">
        <v>99.82</v>
      </c>
    </row>
    <row r="302" spans="1:9" x14ac:dyDescent="0.25">
      <c r="A302">
        <v>301</v>
      </c>
      <c r="B302" s="9">
        <v>45966</v>
      </c>
      <c r="C302">
        <v>1</v>
      </c>
      <c r="D302">
        <v>136</v>
      </c>
      <c r="E302">
        <v>19</v>
      </c>
      <c r="F302">
        <v>1</v>
      </c>
      <c r="G302">
        <v>138.31</v>
      </c>
      <c r="H302">
        <v>0.05</v>
      </c>
      <c r="I302">
        <v>131.38999999999999</v>
      </c>
    </row>
    <row r="303" spans="1:9" x14ac:dyDescent="0.25">
      <c r="A303">
        <v>302</v>
      </c>
      <c r="B303" s="9">
        <v>45616</v>
      </c>
      <c r="C303">
        <v>3</v>
      </c>
      <c r="D303">
        <v>11</v>
      </c>
      <c r="E303">
        <v>21</v>
      </c>
      <c r="F303">
        <v>1</v>
      </c>
      <c r="G303">
        <v>187.71</v>
      </c>
      <c r="H303">
        <v>0</v>
      </c>
      <c r="I303">
        <v>187.71</v>
      </c>
    </row>
    <row r="304" spans="1:9" x14ac:dyDescent="0.25">
      <c r="A304">
        <v>303</v>
      </c>
      <c r="B304" s="9">
        <v>45698</v>
      </c>
      <c r="C304">
        <v>3</v>
      </c>
      <c r="D304">
        <v>136</v>
      </c>
      <c r="E304">
        <v>4</v>
      </c>
      <c r="F304">
        <v>1</v>
      </c>
      <c r="G304">
        <v>168</v>
      </c>
      <c r="H304">
        <v>0</v>
      </c>
      <c r="I304">
        <v>168</v>
      </c>
    </row>
    <row r="305" spans="1:9" x14ac:dyDescent="0.25">
      <c r="A305">
        <v>304</v>
      </c>
      <c r="B305" s="9">
        <v>45259</v>
      </c>
      <c r="C305">
        <v>3</v>
      </c>
      <c r="D305">
        <v>180</v>
      </c>
      <c r="E305">
        <v>19</v>
      </c>
      <c r="F305">
        <v>1</v>
      </c>
      <c r="G305">
        <v>138.31</v>
      </c>
      <c r="H305">
        <v>0.15</v>
      </c>
      <c r="I305">
        <v>117.56</v>
      </c>
    </row>
    <row r="306" spans="1:9" x14ac:dyDescent="0.25">
      <c r="A306">
        <v>305</v>
      </c>
      <c r="B306" s="9">
        <v>45266</v>
      </c>
      <c r="C306">
        <v>8</v>
      </c>
      <c r="D306">
        <v>141</v>
      </c>
      <c r="E306">
        <v>13</v>
      </c>
      <c r="F306">
        <v>2</v>
      </c>
      <c r="G306">
        <v>262.70999999999998</v>
      </c>
      <c r="H306">
        <v>0.05</v>
      </c>
      <c r="I306">
        <v>499.15</v>
      </c>
    </row>
    <row r="307" spans="1:9" x14ac:dyDescent="0.25">
      <c r="A307">
        <v>306</v>
      </c>
      <c r="B307" s="9">
        <v>45016</v>
      </c>
      <c r="C307">
        <v>7</v>
      </c>
      <c r="D307">
        <v>109</v>
      </c>
      <c r="E307">
        <v>97</v>
      </c>
      <c r="F307">
        <v>1</v>
      </c>
      <c r="G307">
        <v>158.26</v>
      </c>
      <c r="H307">
        <v>0</v>
      </c>
      <c r="I307">
        <v>158.26</v>
      </c>
    </row>
    <row r="308" spans="1:9" x14ac:dyDescent="0.25">
      <c r="A308">
        <v>307</v>
      </c>
      <c r="B308" s="9">
        <v>45673</v>
      </c>
      <c r="C308">
        <v>4</v>
      </c>
      <c r="D308">
        <v>145</v>
      </c>
      <c r="E308">
        <v>20</v>
      </c>
      <c r="F308">
        <v>1</v>
      </c>
      <c r="G308">
        <v>85.89</v>
      </c>
      <c r="H308">
        <v>0.1</v>
      </c>
      <c r="I308">
        <v>77.3</v>
      </c>
    </row>
    <row r="309" spans="1:9" x14ac:dyDescent="0.25">
      <c r="A309">
        <v>308</v>
      </c>
      <c r="B309" s="9">
        <v>45836</v>
      </c>
      <c r="C309">
        <v>5</v>
      </c>
      <c r="D309">
        <v>114</v>
      </c>
      <c r="E309">
        <v>17</v>
      </c>
      <c r="F309">
        <v>2</v>
      </c>
      <c r="G309">
        <v>97.14</v>
      </c>
      <c r="H309">
        <v>0</v>
      </c>
      <c r="I309">
        <v>194.28</v>
      </c>
    </row>
    <row r="310" spans="1:9" x14ac:dyDescent="0.25">
      <c r="A310">
        <v>309</v>
      </c>
      <c r="B310" s="9">
        <v>45846</v>
      </c>
      <c r="C310">
        <v>4</v>
      </c>
      <c r="D310">
        <v>50</v>
      </c>
      <c r="E310">
        <v>62</v>
      </c>
      <c r="F310">
        <v>1</v>
      </c>
      <c r="G310">
        <v>82.81</v>
      </c>
      <c r="H310">
        <v>0.2</v>
      </c>
      <c r="I310">
        <v>66.25</v>
      </c>
    </row>
    <row r="311" spans="1:9" x14ac:dyDescent="0.25">
      <c r="A311">
        <v>310</v>
      </c>
      <c r="B311" s="9">
        <v>45416</v>
      </c>
      <c r="C311">
        <v>5</v>
      </c>
      <c r="D311">
        <v>215</v>
      </c>
      <c r="E311">
        <v>40</v>
      </c>
      <c r="F311">
        <v>2</v>
      </c>
      <c r="G311">
        <v>144.41999999999999</v>
      </c>
      <c r="H311">
        <v>0</v>
      </c>
      <c r="I311">
        <v>288.83999999999997</v>
      </c>
    </row>
    <row r="312" spans="1:9" x14ac:dyDescent="0.25">
      <c r="A312">
        <v>311</v>
      </c>
      <c r="B312" s="9">
        <v>45887</v>
      </c>
      <c r="C312">
        <v>4</v>
      </c>
      <c r="D312">
        <v>19</v>
      </c>
      <c r="E312">
        <v>32</v>
      </c>
      <c r="F312">
        <v>1</v>
      </c>
      <c r="G312">
        <v>47.81</v>
      </c>
      <c r="H312">
        <v>0.1</v>
      </c>
      <c r="I312">
        <v>43.03</v>
      </c>
    </row>
    <row r="313" spans="1:9" x14ac:dyDescent="0.25">
      <c r="A313">
        <v>312</v>
      </c>
      <c r="B313" s="9">
        <v>45680</v>
      </c>
      <c r="C313">
        <v>8</v>
      </c>
      <c r="D313">
        <v>48</v>
      </c>
      <c r="E313">
        <v>72</v>
      </c>
      <c r="F313">
        <v>1</v>
      </c>
      <c r="G313">
        <v>50.75</v>
      </c>
      <c r="H313">
        <v>0</v>
      </c>
      <c r="I313">
        <v>50.75</v>
      </c>
    </row>
    <row r="314" spans="1:9" x14ac:dyDescent="0.25">
      <c r="A314">
        <v>313</v>
      </c>
      <c r="B314" s="9">
        <v>45872</v>
      </c>
      <c r="C314">
        <v>5</v>
      </c>
      <c r="D314">
        <v>137</v>
      </c>
      <c r="E314">
        <v>97</v>
      </c>
      <c r="F314">
        <v>1</v>
      </c>
      <c r="G314">
        <v>158.26</v>
      </c>
      <c r="H314">
        <v>0</v>
      </c>
      <c r="I314">
        <v>158.26</v>
      </c>
    </row>
    <row r="315" spans="1:9" x14ac:dyDescent="0.25">
      <c r="A315">
        <v>314</v>
      </c>
      <c r="B315" s="9">
        <v>45709</v>
      </c>
      <c r="C315">
        <v>7</v>
      </c>
      <c r="D315">
        <v>47</v>
      </c>
      <c r="E315">
        <v>36</v>
      </c>
      <c r="F315">
        <v>1</v>
      </c>
      <c r="G315">
        <v>211.43</v>
      </c>
      <c r="H315">
        <v>0</v>
      </c>
      <c r="I315">
        <v>211.43</v>
      </c>
    </row>
    <row r="316" spans="1:9" x14ac:dyDescent="0.25">
      <c r="A316">
        <v>315</v>
      </c>
      <c r="B316" s="9">
        <v>45258</v>
      </c>
      <c r="C316">
        <v>4</v>
      </c>
      <c r="D316">
        <v>45</v>
      </c>
      <c r="E316">
        <v>9</v>
      </c>
      <c r="F316">
        <v>4</v>
      </c>
      <c r="G316">
        <v>152.78</v>
      </c>
      <c r="H316">
        <v>0.15</v>
      </c>
      <c r="I316">
        <v>519.45000000000005</v>
      </c>
    </row>
    <row r="317" spans="1:9" x14ac:dyDescent="0.25">
      <c r="A317">
        <v>316</v>
      </c>
      <c r="B317" s="9">
        <v>45210</v>
      </c>
      <c r="C317">
        <v>5</v>
      </c>
      <c r="D317">
        <v>146</v>
      </c>
      <c r="E317">
        <v>100</v>
      </c>
      <c r="F317">
        <v>1</v>
      </c>
      <c r="G317">
        <v>39.06</v>
      </c>
      <c r="H317">
        <v>0.1</v>
      </c>
      <c r="I317">
        <v>35.15</v>
      </c>
    </row>
    <row r="318" spans="1:9" x14ac:dyDescent="0.25">
      <c r="A318">
        <v>317</v>
      </c>
      <c r="B318" s="9">
        <v>45033</v>
      </c>
      <c r="C318">
        <v>8</v>
      </c>
      <c r="D318">
        <v>163</v>
      </c>
      <c r="E318">
        <v>71</v>
      </c>
      <c r="F318">
        <v>1</v>
      </c>
      <c r="G318">
        <v>225.61</v>
      </c>
      <c r="H318">
        <v>0</v>
      </c>
      <c r="I318">
        <v>225.61</v>
      </c>
    </row>
    <row r="319" spans="1:9" x14ac:dyDescent="0.25">
      <c r="A319">
        <v>318</v>
      </c>
      <c r="B319" s="9">
        <v>45687</v>
      </c>
      <c r="C319">
        <v>2</v>
      </c>
      <c r="D319">
        <v>180</v>
      </c>
      <c r="E319">
        <v>80</v>
      </c>
      <c r="F319">
        <v>1</v>
      </c>
      <c r="G319">
        <v>33.380000000000003</v>
      </c>
      <c r="H319">
        <v>0</v>
      </c>
      <c r="I319">
        <v>33.380000000000003</v>
      </c>
    </row>
    <row r="320" spans="1:9" x14ac:dyDescent="0.25">
      <c r="A320">
        <v>319</v>
      </c>
      <c r="B320" s="9">
        <v>45182</v>
      </c>
      <c r="C320">
        <v>5</v>
      </c>
      <c r="D320">
        <v>198</v>
      </c>
      <c r="E320">
        <v>97</v>
      </c>
      <c r="F320">
        <v>1</v>
      </c>
      <c r="G320">
        <v>158.26</v>
      </c>
      <c r="H320">
        <v>0</v>
      </c>
      <c r="I320">
        <v>158.26</v>
      </c>
    </row>
    <row r="321" spans="1:9" x14ac:dyDescent="0.25">
      <c r="A321">
        <v>320</v>
      </c>
      <c r="B321" s="9">
        <v>45098</v>
      </c>
      <c r="C321">
        <v>3</v>
      </c>
      <c r="D321">
        <v>6</v>
      </c>
      <c r="E321">
        <v>48</v>
      </c>
      <c r="F321">
        <v>1</v>
      </c>
      <c r="G321">
        <v>146.85</v>
      </c>
      <c r="H321">
        <v>0</v>
      </c>
      <c r="I321">
        <v>146.85</v>
      </c>
    </row>
    <row r="322" spans="1:9" x14ac:dyDescent="0.25">
      <c r="A322">
        <v>321</v>
      </c>
      <c r="B322" s="9">
        <v>45485</v>
      </c>
      <c r="C322">
        <v>8</v>
      </c>
      <c r="D322">
        <v>217</v>
      </c>
      <c r="E322">
        <v>69</v>
      </c>
      <c r="F322">
        <v>1</v>
      </c>
      <c r="G322">
        <v>22.86</v>
      </c>
      <c r="H322">
        <v>0</v>
      </c>
      <c r="I322">
        <v>22.86</v>
      </c>
    </row>
    <row r="323" spans="1:9" x14ac:dyDescent="0.25">
      <c r="A323">
        <v>322</v>
      </c>
      <c r="B323" s="9">
        <v>45228</v>
      </c>
      <c r="C323">
        <v>7</v>
      </c>
      <c r="D323">
        <v>8</v>
      </c>
      <c r="E323">
        <v>73</v>
      </c>
      <c r="F323">
        <v>1</v>
      </c>
      <c r="G323">
        <v>8.39</v>
      </c>
      <c r="H323">
        <v>0</v>
      </c>
      <c r="I323">
        <v>8.39</v>
      </c>
    </row>
    <row r="324" spans="1:9" x14ac:dyDescent="0.25">
      <c r="A324">
        <v>323</v>
      </c>
      <c r="B324" s="9">
        <v>45114</v>
      </c>
      <c r="C324">
        <v>4</v>
      </c>
      <c r="D324">
        <v>84</v>
      </c>
      <c r="E324">
        <v>16</v>
      </c>
      <c r="F324">
        <v>1</v>
      </c>
      <c r="G324">
        <v>62.77</v>
      </c>
      <c r="H324">
        <v>0.05</v>
      </c>
      <c r="I324">
        <v>59.63</v>
      </c>
    </row>
    <row r="325" spans="1:9" x14ac:dyDescent="0.25">
      <c r="A325">
        <v>324</v>
      </c>
      <c r="B325" s="9">
        <v>45850</v>
      </c>
      <c r="C325">
        <v>6</v>
      </c>
      <c r="D325">
        <v>59</v>
      </c>
      <c r="E325">
        <v>66</v>
      </c>
      <c r="F325">
        <v>1</v>
      </c>
      <c r="G325">
        <v>169.57</v>
      </c>
      <c r="H325">
        <v>0</v>
      </c>
      <c r="I325">
        <v>169.57</v>
      </c>
    </row>
    <row r="326" spans="1:9" x14ac:dyDescent="0.25">
      <c r="A326">
        <v>325</v>
      </c>
      <c r="B326" s="9">
        <v>44981</v>
      </c>
      <c r="C326">
        <v>7</v>
      </c>
      <c r="D326">
        <v>28</v>
      </c>
      <c r="E326">
        <v>44</v>
      </c>
      <c r="F326">
        <v>1</v>
      </c>
      <c r="G326">
        <v>235.19</v>
      </c>
      <c r="H326">
        <v>0</v>
      </c>
      <c r="I326">
        <v>235.19</v>
      </c>
    </row>
    <row r="327" spans="1:9" x14ac:dyDescent="0.25">
      <c r="A327">
        <v>326</v>
      </c>
      <c r="B327" s="9">
        <v>45036</v>
      </c>
      <c r="C327">
        <v>7</v>
      </c>
      <c r="D327">
        <v>155</v>
      </c>
      <c r="E327">
        <v>91</v>
      </c>
      <c r="F327">
        <v>2</v>
      </c>
      <c r="G327">
        <v>33.700000000000003</v>
      </c>
      <c r="H327">
        <v>0</v>
      </c>
      <c r="I327">
        <v>67.400000000000006</v>
      </c>
    </row>
    <row r="328" spans="1:9" x14ac:dyDescent="0.25">
      <c r="A328">
        <v>327</v>
      </c>
      <c r="B328" s="9">
        <v>45955</v>
      </c>
      <c r="C328">
        <v>6</v>
      </c>
      <c r="D328">
        <v>2</v>
      </c>
      <c r="E328">
        <v>42</v>
      </c>
      <c r="F328">
        <v>2</v>
      </c>
      <c r="G328">
        <v>127.97</v>
      </c>
      <c r="H328">
        <v>0.05</v>
      </c>
      <c r="I328">
        <v>243.14</v>
      </c>
    </row>
    <row r="329" spans="1:9" x14ac:dyDescent="0.25">
      <c r="A329">
        <v>328</v>
      </c>
      <c r="B329" s="9">
        <v>45409</v>
      </c>
      <c r="C329">
        <v>7</v>
      </c>
      <c r="D329">
        <v>131</v>
      </c>
      <c r="E329">
        <v>35</v>
      </c>
      <c r="F329">
        <v>1</v>
      </c>
      <c r="G329">
        <v>303.48</v>
      </c>
      <c r="H329">
        <v>0</v>
      </c>
      <c r="I329">
        <v>303.48</v>
      </c>
    </row>
    <row r="330" spans="1:9" x14ac:dyDescent="0.25">
      <c r="A330">
        <v>329</v>
      </c>
      <c r="B330" s="9">
        <v>45094</v>
      </c>
      <c r="C330">
        <v>6</v>
      </c>
      <c r="D330">
        <v>16</v>
      </c>
      <c r="E330">
        <v>92</v>
      </c>
      <c r="F330">
        <v>2</v>
      </c>
      <c r="G330">
        <v>223.32</v>
      </c>
      <c r="H330">
        <v>0.05</v>
      </c>
      <c r="I330">
        <v>424.31</v>
      </c>
    </row>
    <row r="331" spans="1:9" x14ac:dyDescent="0.25">
      <c r="A331">
        <v>330</v>
      </c>
      <c r="B331" s="9">
        <v>45386</v>
      </c>
      <c r="C331">
        <v>1</v>
      </c>
      <c r="D331">
        <v>197</v>
      </c>
      <c r="E331">
        <v>65</v>
      </c>
      <c r="F331">
        <v>1</v>
      </c>
      <c r="G331">
        <v>71.14</v>
      </c>
      <c r="H331">
        <v>0</v>
      </c>
      <c r="I331">
        <v>71.14</v>
      </c>
    </row>
    <row r="332" spans="1:9" x14ac:dyDescent="0.25">
      <c r="A332">
        <v>331</v>
      </c>
      <c r="B332" s="9">
        <v>45579</v>
      </c>
      <c r="C332">
        <v>2</v>
      </c>
      <c r="D332">
        <v>184</v>
      </c>
      <c r="E332">
        <v>86</v>
      </c>
      <c r="F332">
        <v>1</v>
      </c>
      <c r="G332">
        <v>99.19</v>
      </c>
      <c r="H332">
        <v>0</v>
      </c>
      <c r="I332">
        <v>99.19</v>
      </c>
    </row>
    <row r="333" spans="1:9" x14ac:dyDescent="0.25">
      <c r="A333">
        <v>332</v>
      </c>
      <c r="B333" s="9">
        <v>45613</v>
      </c>
      <c r="C333">
        <v>3</v>
      </c>
      <c r="D333">
        <v>146</v>
      </c>
      <c r="E333">
        <v>21</v>
      </c>
      <c r="F333">
        <v>1</v>
      </c>
      <c r="G333">
        <v>187.71</v>
      </c>
      <c r="H333">
        <v>0</v>
      </c>
      <c r="I333">
        <v>187.71</v>
      </c>
    </row>
    <row r="334" spans="1:9" x14ac:dyDescent="0.25">
      <c r="A334">
        <v>333</v>
      </c>
      <c r="B334" s="9">
        <v>45208</v>
      </c>
      <c r="C334">
        <v>1</v>
      </c>
      <c r="D334">
        <v>140</v>
      </c>
      <c r="E334">
        <v>21</v>
      </c>
      <c r="F334">
        <v>1</v>
      </c>
      <c r="G334">
        <v>187.71</v>
      </c>
      <c r="H334">
        <v>0</v>
      </c>
      <c r="I334">
        <v>187.71</v>
      </c>
    </row>
    <row r="335" spans="1:9" x14ac:dyDescent="0.25">
      <c r="A335">
        <v>334</v>
      </c>
      <c r="B335" s="9">
        <v>45514</v>
      </c>
      <c r="C335">
        <v>8</v>
      </c>
      <c r="D335">
        <v>105</v>
      </c>
      <c r="E335">
        <v>83</v>
      </c>
      <c r="F335">
        <v>1</v>
      </c>
      <c r="G335">
        <v>109.16</v>
      </c>
      <c r="H335">
        <v>0.05</v>
      </c>
      <c r="I335">
        <v>103.7</v>
      </c>
    </row>
    <row r="336" spans="1:9" x14ac:dyDescent="0.25">
      <c r="A336">
        <v>335</v>
      </c>
      <c r="B336" s="9">
        <v>45211</v>
      </c>
      <c r="C336">
        <v>8</v>
      </c>
      <c r="D336">
        <v>119</v>
      </c>
      <c r="E336">
        <v>62</v>
      </c>
      <c r="F336">
        <v>5</v>
      </c>
      <c r="G336">
        <v>82.81</v>
      </c>
      <c r="H336">
        <v>0</v>
      </c>
      <c r="I336">
        <v>414.05</v>
      </c>
    </row>
    <row r="337" spans="1:9" x14ac:dyDescent="0.25">
      <c r="A337">
        <v>336</v>
      </c>
      <c r="B337" s="9">
        <v>45845</v>
      </c>
      <c r="C337">
        <v>1</v>
      </c>
      <c r="D337">
        <v>148</v>
      </c>
      <c r="E337">
        <v>29</v>
      </c>
      <c r="F337">
        <v>1</v>
      </c>
      <c r="G337">
        <v>138.6</v>
      </c>
      <c r="H337">
        <v>0</v>
      </c>
      <c r="I337">
        <v>138.6</v>
      </c>
    </row>
    <row r="338" spans="1:9" x14ac:dyDescent="0.25">
      <c r="A338">
        <v>337</v>
      </c>
      <c r="B338" s="9">
        <v>45089</v>
      </c>
      <c r="C338">
        <v>1</v>
      </c>
      <c r="D338">
        <v>178</v>
      </c>
      <c r="E338">
        <v>74</v>
      </c>
      <c r="F338">
        <v>1</v>
      </c>
      <c r="G338">
        <v>205.01</v>
      </c>
      <c r="H338">
        <v>0</v>
      </c>
      <c r="I338">
        <v>205.01</v>
      </c>
    </row>
    <row r="339" spans="1:9" x14ac:dyDescent="0.25">
      <c r="A339">
        <v>338</v>
      </c>
      <c r="B339" s="9">
        <v>45451</v>
      </c>
      <c r="C339">
        <v>4</v>
      </c>
      <c r="D339">
        <v>56</v>
      </c>
      <c r="E339">
        <v>89</v>
      </c>
      <c r="F339">
        <v>2</v>
      </c>
      <c r="G339">
        <v>247.43</v>
      </c>
      <c r="H339">
        <v>0.15</v>
      </c>
      <c r="I339">
        <v>420.63</v>
      </c>
    </row>
    <row r="340" spans="1:9" x14ac:dyDescent="0.25">
      <c r="A340">
        <v>339</v>
      </c>
      <c r="B340" s="9">
        <v>45233</v>
      </c>
      <c r="C340">
        <v>7</v>
      </c>
      <c r="D340">
        <v>79</v>
      </c>
      <c r="E340">
        <v>52</v>
      </c>
      <c r="F340">
        <v>1</v>
      </c>
      <c r="G340">
        <v>196.75</v>
      </c>
      <c r="H340">
        <v>0.05</v>
      </c>
      <c r="I340">
        <v>186.91</v>
      </c>
    </row>
    <row r="341" spans="1:9" x14ac:dyDescent="0.25">
      <c r="A341">
        <v>340</v>
      </c>
      <c r="B341" s="9">
        <v>45154</v>
      </c>
      <c r="C341">
        <v>5</v>
      </c>
      <c r="D341">
        <v>146</v>
      </c>
      <c r="E341">
        <v>46</v>
      </c>
      <c r="F341">
        <v>1</v>
      </c>
      <c r="G341">
        <v>157</v>
      </c>
      <c r="H341">
        <v>0</v>
      </c>
      <c r="I341">
        <v>157</v>
      </c>
    </row>
    <row r="342" spans="1:9" x14ac:dyDescent="0.25">
      <c r="A342">
        <v>341</v>
      </c>
      <c r="B342" s="9">
        <v>45413</v>
      </c>
      <c r="C342">
        <v>5</v>
      </c>
      <c r="D342">
        <v>62</v>
      </c>
      <c r="E342">
        <v>31</v>
      </c>
      <c r="F342">
        <v>1</v>
      </c>
      <c r="G342">
        <v>165.45</v>
      </c>
      <c r="H342">
        <v>0</v>
      </c>
      <c r="I342">
        <v>165.45</v>
      </c>
    </row>
    <row r="343" spans="1:9" x14ac:dyDescent="0.25">
      <c r="A343">
        <v>342</v>
      </c>
      <c r="B343" s="9">
        <v>45176</v>
      </c>
      <c r="C343">
        <v>1</v>
      </c>
      <c r="D343">
        <v>153</v>
      </c>
      <c r="E343">
        <v>30</v>
      </c>
      <c r="F343">
        <v>1</v>
      </c>
      <c r="G343">
        <v>19.399999999999999</v>
      </c>
      <c r="H343">
        <v>0</v>
      </c>
      <c r="I343">
        <v>19.399999999999999</v>
      </c>
    </row>
    <row r="344" spans="1:9" x14ac:dyDescent="0.25">
      <c r="A344">
        <v>343</v>
      </c>
      <c r="B344" s="9">
        <v>45415</v>
      </c>
      <c r="C344">
        <v>7</v>
      </c>
      <c r="D344">
        <v>89</v>
      </c>
      <c r="E344">
        <v>77</v>
      </c>
      <c r="F344">
        <v>1</v>
      </c>
      <c r="G344">
        <v>226.88</v>
      </c>
      <c r="H344">
        <v>0.05</v>
      </c>
      <c r="I344">
        <v>215.54</v>
      </c>
    </row>
    <row r="345" spans="1:9" x14ac:dyDescent="0.25">
      <c r="A345">
        <v>344</v>
      </c>
      <c r="B345" s="9">
        <v>45863</v>
      </c>
      <c r="C345">
        <v>2</v>
      </c>
      <c r="D345">
        <v>111</v>
      </c>
      <c r="E345">
        <v>79</v>
      </c>
      <c r="F345">
        <v>1</v>
      </c>
      <c r="G345">
        <v>117.59</v>
      </c>
      <c r="H345">
        <v>0</v>
      </c>
      <c r="I345">
        <v>117.59</v>
      </c>
    </row>
    <row r="346" spans="1:9" x14ac:dyDescent="0.25">
      <c r="A346">
        <v>345</v>
      </c>
      <c r="B346" s="9">
        <v>45154</v>
      </c>
      <c r="C346">
        <v>8</v>
      </c>
      <c r="D346">
        <v>191</v>
      </c>
      <c r="E346">
        <v>75</v>
      </c>
      <c r="F346">
        <v>1</v>
      </c>
      <c r="G346">
        <v>205.69</v>
      </c>
      <c r="H346">
        <v>0</v>
      </c>
      <c r="I346">
        <v>205.69</v>
      </c>
    </row>
    <row r="347" spans="1:9" x14ac:dyDescent="0.25">
      <c r="A347">
        <v>346</v>
      </c>
      <c r="B347" s="9">
        <v>44960</v>
      </c>
      <c r="C347">
        <v>4</v>
      </c>
      <c r="D347">
        <v>82</v>
      </c>
      <c r="E347">
        <v>48</v>
      </c>
      <c r="F347">
        <v>2</v>
      </c>
      <c r="G347">
        <v>146.85</v>
      </c>
      <c r="H347">
        <v>0</v>
      </c>
      <c r="I347">
        <v>293.7</v>
      </c>
    </row>
    <row r="348" spans="1:9" x14ac:dyDescent="0.25">
      <c r="A348">
        <v>347</v>
      </c>
      <c r="B348" s="9">
        <v>45221</v>
      </c>
      <c r="C348">
        <v>5</v>
      </c>
      <c r="D348">
        <v>169</v>
      </c>
      <c r="E348">
        <v>87</v>
      </c>
      <c r="F348">
        <v>1</v>
      </c>
      <c r="G348">
        <v>223.85</v>
      </c>
      <c r="H348">
        <v>0.15</v>
      </c>
      <c r="I348">
        <v>190.27</v>
      </c>
    </row>
    <row r="349" spans="1:9" x14ac:dyDescent="0.25">
      <c r="A349">
        <v>348</v>
      </c>
      <c r="B349" s="9">
        <v>45806</v>
      </c>
      <c r="C349">
        <v>1</v>
      </c>
      <c r="D349">
        <v>25</v>
      </c>
      <c r="E349">
        <v>3</v>
      </c>
      <c r="F349">
        <v>1</v>
      </c>
      <c r="G349">
        <v>190.58</v>
      </c>
      <c r="H349">
        <v>0</v>
      </c>
      <c r="I349">
        <v>190.58</v>
      </c>
    </row>
    <row r="350" spans="1:9" x14ac:dyDescent="0.25">
      <c r="A350">
        <v>349</v>
      </c>
      <c r="B350" s="9">
        <v>45649</v>
      </c>
      <c r="C350">
        <v>4</v>
      </c>
      <c r="D350">
        <v>178</v>
      </c>
      <c r="E350">
        <v>21</v>
      </c>
      <c r="F350">
        <v>1</v>
      </c>
      <c r="G350">
        <v>187.71</v>
      </c>
      <c r="H350">
        <v>0</v>
      </c>
      <c r="I350">
        <v>187.71</v>
      </c>
    </row>
    <row r="351" spans="1:9" x14ac:dyDescent="0.25">
      <c r="A351">
        <v>350</v>
      </c>
      <c r="B351" s="9">
        <v>45780</v>
      </c>
      <c r="C351">
        <v>3</v>
      </c>
      <c r="D351">
        <v>191</v>
      </c>
      <c r="E351">
        <v>85</v>
      </c>
      <c r="F351">
        <v>1</v>
      </c>
      <c r="G351">
        <v>83.36</v>
      </c>
      <c r="H351">
        <v>0.1</v>
      </c>
      <c r="I351">
        <v>75.02</v>
      </c>
    </row>
    <row r="352" spans="1:9" x14ac:dyDescent="0.25">
      <c r="A352">
        <v>351</v>
      </c>
      <c r="B352" s="9">
        <v>45102</v>
      </c>
      <c r="C352">
        <v>6</v>
      </c>
      <c r="D352">
        <v>59</v>
      </c>
      <c r="E352">
        <v>33</v>
      </c>
      <c r="F352">
        <v>1</v>
      </c>
      <c r="G352">
        <v>21.23</v>
      </c>
      <c r="H352">
        <v>0.05</v>
      </c>
      <c r="I352">
        <v>20.170000000000002</v>
      </c>
    </row>
    <row r="353" spans="1:9" x14ac:dyDescent="0.25">
      <c r="A353">
        <v>352</v>
      </c>
      <c r="B353" s="9">
        <v>45065</v>
      </c>
      <c r="C353">
        <v>1</v>
      </c>
      <c r="D353">
        <v>165</v>
      </c>
      <c r="E353">
        <v>50</v>
      </c>
      <c r="F353">
        <v>1</v>
      </c>
      <c r="G353">
        <v>52.54</v>
      </c>
      <c r="H353">
        <v>0</v>
      </c>
      <c r="I353">
        <v>52.54</v>
      </c>
    </row>
    <row r="354" spans="1:9" x14ac:dyDescent="0.25">
      <c r="A354">
        <v>353</v>
      </c>
      <c r="B354" s="9">
        <v>45726</v>
      </c>
      <c r="C354">
        <v>8</v>
      </c>
      <c r="D354">
        <v>137</v>
      </c>
      <c r="E354">
        <v>39</v>
      </c>
      <c r="F354">
        <v>1</v>
      </c>
      <c r="G354">
        <v>181.34</v>
      </c>
      <c r="H354">
        <v>0</v>
      </c>
      <c r="I354">
        <v>181.34</v>
      </c>
    </row>
    <row r="355" spans="1:9" x14ac:dyDescent="0.25">
      <c r="A355">
        <v>354</v>
      </c>
      <c r="B355" s="9">
        <v>45016</v>
      </c>
      <c r="C355">
        <v>7</v>
      </c>
      <c r="D355">
        <v>117</v>
      </c>
      <c r="E355">
        <v>51</v>
      </c>
      <c r="F355">
        <v>1</v>
      </c>
      <c r="G355">
        <v>302.75</v>
      </c>
      <c r="H355">
        <v>0</v>
      </c>
      <c r="I355">
        <v>302.75</v>
      </c>
    </row>
    <row r="356" spans="1:9" x14ac:dyDescent="0.25">
      <c r="A356">
        <v>355</v>
      </c>
      <c r="B356" s="9">
        <v>45691</v>
      </c>
      <c r="C356">
        <v>5</v>
      </c>
      <c r="D356">
        <v>131</v>
      </c>
      <c r="E356">
        <v>25</v>
      </c>
      <c r="F356">
        <v>1</v>
      </c>
      <c r="G356">
        <v>117.41</v>
      </c>
      <c r="H356">
        <v>0.1</v>
      </c>
      <c r="I356">
        <v>105.67</v>
      </c>
    </row>
    <row r="357" spans="1:9" x14ac:dyDescent="0.25">
      <c r="A357">
        <v>356</v>
      </c>
      <c r="B357" s="9">
        <v>44960</v>
      </c>
      <c r="C357">
        <v>6</v>
      </c>
      <c r="D357">
        <v>57</v>
      </c>
      <c r="E357">
        <v>6</v>
      </c>
      <c r="F357">
        <v>1</v>
      </c>
      <c r="G357">
        <v>44.63</v>
      </c>
      <c r="H357">
        <v>0.1</v>
      </c>
      <c r="I357">
        <v>40.17</v>
      </c>
    </row>
    <row r="358" spans="1:9" x14ac:dyDescent="0.25">
      <c r="A358">
        <v>357</v>
      </c>
      <c r="B358" s="9">
        <v>45065</v>
      </c>
      <c r="C358">
        <v>6</v>
      </c>
      <c r="D358">
        <v>161</v>
      </c>
      <c r="E358">
        <v>35</v>
      </c>
      <c r="F358">
        <v>2</v>
      </c>
      <c r="G358">
        <v>303.48</v>
      </c>
      <c r="H358">
        <v>0.05</v>
      </c>
      <c r="I358">
        <v>576.61</v>
      </c>
    </row>
    <row r="359" spans="1:9" x14ac:dyDescent="0.25">
      <c r="A359">
        <v>358</v>
      </c>
      <c r="B359" s="9">
        <v>45420</v>
      </c>
      <c r="C359">
        <v>2</v>
      </c>
      <c r="D359">
        <v>192</v>
      </c>
      <c r="E359">
        <v>58</v>
      </c>
      <c r="F359">
        <v>2</v>
      </c>
      <c r="G359">
        <v>64.400000000000006</v>
      </c>
      <c r="H359">
        <v>0</v>
      </c>
      <c r="I359">
        <v>128.80000000000001</v>
      </c>
    </row>
    <row r="360" spans="1:9" x14ac:dyDescent="0.25">
      <c r="A360">
        <v>359</v>
      </c>
      <c r="B360" s="9">
        <v>45607</v>
      </c>
      <c r="C360">
        <v>3</v>
      </c>
      <c r="D360">
        <v>66</v>
      </c>
      <c r="E360">
        <v>17</v>
      </c>
      <c r="F360">
        <v>1</v>
      </c>
      <c r="G360">
        <v>97.14</v>
      </c>
      <c r="H360">
        <v>0</v>
      </c>
      <c r="I360">
        <v>97.14</v>
      </c>
    </row>
    <row r="361" spans="1:9" x14ac:dyDescent="0.25">
      <c r="A361">
        <v>360</v>
      </c>
      <c r="B361" s="9">
        <v>45017</v>
      </c>
      <c r="C361">
        <v>6</v>
      </c>
      <c r="D361">
        <v>67</v>
      </c>
      <c r="E361">
        <v>68</v>
      </c>
      <c r="F361">
        <v>3</v>
      </c>
      <c r="G361">
        <v>198.56</v>
      </c>
      <c r="H361">
        <v>0</v>
      </c>
      <c r="I361">
        <v>595.67999999999995</v>
      </c>
    </row>
    <row r="362" spans="1:9" x14ac:dyDescent="0.25">
      <c r="A362">
        <v>361</v>
      </c>
      <c r="B362" s="9">
        <v>45620</v>
      </c>
      <c r="C362">
        <v>3</v>
      </c>
      <c r="D362">
        <v>172</v>
      </c>
      <c r="E362">
        <v>39</v>
      </c>
      <c r="F362">
        <v>1</v>
      </c>
      <c r="G362">
        <v>181.34</v>
      </c>
      <c r="H362">
        <v>0.05</v>
      </c>
      <c r="I362">
        <v>172.27</v>
      </c>
    </row>
    <row r="363" spans="1:9" x14ac:dyDescent="0.25">
      <c r="A363">
        <v>362</v>
      </c>
      <c r="B363" s="9">
        <v>45878</v>
      </c>
      <c r="C363">
        <v>8</v>
      </c>
      <c r="D363">
        <v>163</v>
      </c>
      <c r="E363">
        <v>57</v>
      </c>
      <c r="F363">
        <v>1</v>
      </c>
      <c r="G363">
        <v>32.28</v>
      </c>
      <c r="H363">
        <v>0</v>
      </c>
      <c r="I363">
        <v>32.28</v>
      </c>
    </row>
    <row r="364" spans="1:9" x14ac:dyDescent="0.25">
      <c r="A364">
        <v>363</v>
      </c>
      <c r="B364" s="9">
        <v>45300</v>
      </c>
      <c r="C364">
        <v>3</v>
      </c>
      <c r="D364">
        <v>112</v>
      </c>
      <c r="E364">
        <v>16</v>
      </c>
      <c r="F364">
        <v>1</v>
      </c>
      <c r="G364">
        <v>62.77</v>
      </c>
      <c r="H364">
        <v>0</v>
      </c>
      <c r="I364">
        <v>62.77</v>
      </c>
    </row>
    <row r="365" spans="1:9" x14ac:dyDescent="0.25">
      <c r="A365">
        <v>364</v>
      </c>
      <c r="B365" s="9">
        <v>45056</v>
      </c>
      <c r="C365">
        <v>8</v>
      </c>
      <c r="D365">
        <v>134</v>
      </c>
      <c r="E365">
        <v>19</v>
      </c>
      <c r="F365">
        <v>1</v>
      </c>
      <c r="G365">
        <v>138.31</v>
      </c>
      <c r="H365">
        <v>0.1</v>
      </c>
      <c r="I365">
        <v>124.48</v>
      </c>
    </row>
    <row r="366" spans="1:9" x14ac:dyDescent="0.25">
      <c r="A366">
        <v>365</v>
      </c>
      <c r="B366" s="9">
        <v>45002</v>
      </c>
      <c r="C366">
        <v>5</v>
      </c>
      <c r="D366">
        <v>6</v>
      </c>
      <c r="E366">
        <v>95</v>
      </c>
      <c r="F366">
        <v>2</v>
      </c>
      <c r="G366">
        <v>201.94</v>
      </c>
      <c r="H366">
        <v>0.15</v>
      </c>
      <c r="I366">
        <v>343.3</v>
      </c>
    </row>
    <row r="367" spans="1:9" x14ac:dyDescent="0.25">
      <c r="A367">
        <v>366</v>
      </c>
      <c r="B367" s="9">
        <v>45339</v>
      </c>
      <c r="C367">
        <v>1</v>
      </c>
      <c r="D367">
        <v>99</v>
      </c>
      <c r="E367">
        <v>67</v>
      </c>
      <c r="F367">
        <v>2</v>
      </c>
      <c r="G367">
        <v>41.9</v>
      </c>
      <c r="H367">
        <v>0.05</v>
      </c>
      <c r="I367">
        <v>79.61</v>
      </c>
    </row>
    <row r="368" spans="1:9" x14ac:dyDescent="0.25">
      <c r="A368">
        <v>367</v>
      </c>
      <c r="B368" s="9">
        <v>45335</v>
      </c>
      <c r="C368">
        <v>1</v>
      </c>
      <c r="D368">
        <v>68</v>
      </c>
      <c r="E368">
        <v>26</v>
      </c>
      <c r="F368">
        <v>1</v>
      </c>
      <c r="G368">
        <v>211.87</v>
      </c>
      <c r="H368">
        <v>0.1</v>
      </c>
      <c r="I368">
        <v>190.68</v>
      </c>
    </row>
    <row r="369" spans="1:9" x14ac:dyDescent="0.25">
      <c r="A369">
        <v>368</v>
      </c>
      <c r="B369" s="9">
        <v>45573</v>
      </c>
      <c r="C369">
        <v>5</v>
      </c>
      <c r="D369">
        <v>206</v>
      </c>
      <c r="E369">
        <v>59</v>
      </c>
      <c r="F369">
        <v>1</v>
      </c>
      <c r="G369">
        <v>17.41</v>
      </c>
      <c r="H369">
        <v>0.05</v>
      </c>
      <c r="I369">
        <v>16.54</v>
      </c>
    </row>
    <row r="370" spans="1:9" x14ac:dyDescent="0.25">
      <c r="A370">
        <v>369</v>
      </c>
      <c r="B370" s="9">
        <v>45742</v>
      </c>
      <c r="C370">
        <v>8</v>
      </c>
      <c r="D370">
        <v>11</v>
      </c>
      <c r="E370">
        <v>40</v>
      </c>
      <c r="F370">
        <v>1</v>
      </c>
      <c r="G370">
        <v>144.41999999999999</v>
      </c>
      <c r="H370">
        <v>0.05</v>
      </c>
      <c r="I370">
        <v>137.19999999999999</v>
      </c>
    </row>
    <row r="371" spans="1:9" x14ac:dyDescent="0.25">
      <c r="A371">
        <v>370</v>
      </c>
      <c r="B371" s="9">
        <v>45445</v>
      </c>
      <c r="C371">
        <v>1</v>
      </c>
      <c r="D371">
        <v>189</v>
      </c>
      <c r="E371">
        <v>66</v>
      </c>
      <c r="F371">
        <v>1</v>
      </c>
      <c r="G371">
        <v>169.57</v>
      </c>
      <c r="H371">
        <v>0</v>
      </c>
      <c r="I371">
        <v>169.57</v>
      </c>
    </row>
    <row r="372" spans="1:9" x14ac:dyDescent="0.25">
      <c r="A372">
        <v>371</v>
      </c>
      <c r="B372" s="9">
        <v>45318</v>
      </c>
      <c r="C372">
        <v>5</v>
      </c>
      <c r="D372">
        <v>112</v>
      </c>
      <c r="E372">
        <v>11</v>
      </c>
      <c r="F372">
        <v>1</v>
      </c>
      <c r="G372">
        <v>11.53</v>
      </c>
      <c r="H372">
        <v>0.05</v>
      </c>
      <c r="I372">
        <v>10.95</v>
      </c>
    </row>
    <row r="373" spans="1:9" x14ac:dyDescent="0.25">
      <c r="A373">
        <v>372</v>
      </c>
      <c r="B373" s="9">
        <v>45658</v>
      </c>
      <c r="C373">
        <v>1</v>
      </c>
      <c r="D373">
        <v>135</v>
      </c>
      <c r="E373">
        <v>14</v>
      </c>
      <c r="F373">
        <v>2</v>
      </c>
      <c r="G373">
        <v>70.08</v>
      </c>
      <c r="H373">
        <v>0</v>
      </c>
      <c r="I373">
        <v>140.16</v>
      </c>
    </row>
    <row r="374" spans="1:9" x14ac:dyDescent="0.25">
      <c r="A374">
        <v>373</v>
      </c>
      <c r="B374" s="9">
        <v>45606</v>
      </c>
      <c r="C374">
        <v>5</v>
      </c>
      <c r="D374">
        <v>188</v>
      </c>
      <c r="E374">
        <v>45</v>
      </c>
      <c r="F374">
        <v>1</v>
      </c>
      <c r="G374">
        <v>70.989999999999995</v>
      </c>
      <c r="H374">
        <v>0.15</v>
      </c>
      <c r="I374">
        <v>60.34</v>
      </c>
    </row>
    <row r="375" spans="1:9" x14ac:dyDescent="0.25">
      <c r="A375">
        <v>374</v>
      </c>
      <c r="B375" s="9">
        <v>45181</v>
      </c>
      <c r="C375">
        <v>6</v>
      </c>
      <c r="D375">
        <v>13</v>
      </c>
      <c r="E375">
        <v>5</v>
      </c>
      <c r="F375">
        <v>2</v>
      </c>
      <c r="G375">
        <v>55.26</v>
      </c>
      <c r="H375">
        <v>0</v>
      </c>
      <c r="I375">
        <v>110.52</v>
      </c>
    </row>
    <row r="376" spans="1:9" x14ac:dyDescent="0.25">
      <c r="A376">
        <v>375</v>
      </c>
      <c r="B376" s="9">
        <v>45821</v>
      </c>
      <c r="C376">
        <v>7</v>
      </c>
      <c r="D376">
        <v>3</v>
      </c>
      <c r="E376">
        <v>71</v>
      </c>
      <c r="F376">
        <v>1</v>
      </c>
      <c r="G376">
        <v>225.61</v>
      </c>
      <c r="H376">
        <v>0</v>
      </c>
      <c r="I376">
        <v>225.61</v>
      </c>
    </row>
    <row r="377" spans="1:9" x14ac:dyDescent="0.25">
      <c r="A377">
        <v>376</v>
      </c>
      <c r="B377" s="9">
        <v>45827</v>
      </c>
      <c r="C377">
        <v>7</v>
      </c>
      <c r="D377">
        <v>188</v>
      </c>
      <c r="E377">
        <v>68</v>
      </c>
      <c r="F377">
        <v>1</v>
      </c>
      <c r="G377">
        <v>198.56</v>
      </c>
      <c r="H377">
        <v>0</v>
      </c>
      <c r="I377">
        <v>198.56</v>
      </c>
    </row>
    <row r="378" spans="1:9" x14ac:dyDescent="0.25">
      <c r="A378">
        <v>377</v>
      </c>
      <c r="B378" s="9">
        <v>45621</v>
      </c>
      <c r="C378">
        <v>3</v>
      </c>
      <c r="D378">
        <v>218</v>
      </c>
      <c r="E378">
        <v>21</v>
      </c>
      <c r="F378">
        <v>1</v>
      </c>
      <c r="G378">
        <v>187.71</v>
      </c>
      <c r="H378">
        <v>0.2</v>
      </c>
      <c r="I378">
        <v>150.16999999999999</v>
      </c>
    </row>
    <row r="379" spans="1:9" x14ac:dyDescent="0.25">
      <c r="A379">
        <v>378</v>
      </c>
      <c r="B379" s="9">
        <v>45943</v>
      </c>
      <c r="C379">
        <v>8</v>
      </c>
      <c r="D379">
        <v>63</v>
      </c>
      <c r="E379">
        <v>42</v>
      </c>
      <c r="F379">
        <v>2</v>
      </c>
      <c r="G379">
        <v>127.97</v>
      </c>
      <c r="H379">
        <v>0</v>
      </c>
      <c r="I379">
        <v>255.94</v>
      </c>
    </row>
    <row r="380" spans="1:9" x14ac:dyDescent="0.25">
      <c r="A380">
        <v>379</v>
      </c>
      <c r="B380" s="9">
        <v>45679</v>
      </c>
      <c r="C380">
        <v>5</v>
      </c>
      <c r="D380">
        <v>133</v>
      </c>
      <c r="E380">
        <v>87</v>
      </c>
      <c r="F380">
        <v>1</v>
      </c>
      <c r="G380">
        <v>223.85</v>
      </c>
      <c r="H380">
        <v>0.2</v>
      </c>
      <c r="I380">
        <v>179.08</v>
      </c>
    </row>
    <row r="381" spans="1:9" x14ac:dyDescent="0.25">
      <c r="A381">
        <v>380</v>
      </c>
      <c r="B381" s="9">
        <v>45096</v>
      </c>
      <c r="C381">
        <v>7</v>
      </c>
      <c r="D381">
        <v>94</v>
      </c>
      <c r="E381">
        <v>59</v>
      </c>
      <c r="F381">
        <v>1</v>
      </c>
      <c r="G381">
        <v>17.41</v>
      </c>
      <c r="H381">
        <v>0.1</v>
      </c>
      <c r="I381">
        <v>15.67</v>
      </c>
    </row>
    <row r="382" spans="1:9" x14ac:dyDescent="0.25">
      <c r="A382">
        <v>381</v>
      </c>
      <c r="B382" s="9">
        <v>45088</v>
      </c>
      <c r="C382">
        <v>7</v>
      </c>
      <c r="D382">
        <v>4</v>
      </c>
      <c r="E382">
        <v>99</v>
      </c>
      <c r="F382">
        <v>2</v>
      </c>
      <c r="G382">
        <v>15.44</v>
      </c>
      <c r="H382">
        <v>0</v>
      </c>
      <c r="I382">
        <v>30.88</v>
      </c>
    </row>
    <row r="383" spans="1:9" x14ac:dyDescent="0.25">
      <c r="A383">
        <v>382</v>
      </c>
      <c r="B383" s="9">
        <v>45296</v>
      </c>
      <c r="C383">
        <v>5</v>
      </c>
      <c r="D383">
        <v>89</v>
      </c>
      <c r="E383">
        <v>37</v>
      </c>
      <c r="F383">
        <v>2</v>
      </c>
      <c r="G383">
        <v>88.87</v>
      </c>
      <c r="H383">
        <v>0</v>
      </c>
      <c r="I383">
        <v>177.74</v>
      </c>
    </row>
    <row r="384" spans="1:9" x14ac:dyDescent="0.25">
      <c r="A384">
        <v>383</v>
      </c>
      <c r="B384" s="9">
        <v>45584</v>
      </c>
      <c r="C384">
        <v>2</v>
      </c>
      <c r="D384">
        <v>17</v>
      </c>
      <c r="E384">
        <v>5</v>
      </c>
      <c r="F384">
        <v>1</v>
      </c>
      <c r="G384">
        <v>55.26</v>
      </c>
      <c r="H384">
        <v>0</v>
      </c>
      <c r="I384">
        <v>55.26</v>
      </c>
    </row>
    <row r="385" spans="1:9" x14ac:dyDescent="0.25">
      <c r="A385">
        <v>384</v>
      </c>
      <c r="B385" s="9">
        <v>45090</v>
      </c>
      <c r="C385">
        <v>6</v>
      </c>
      <c r="D385">
        <v>97</v>
      </c>
      <c r="E385">
        <v>34</v>
      </c>
      <c r="F385">
        <v>2</v>
      </c>
      <c r="G385">
        <v>247.04</v>
      </c>
      <c r="H385">
        <v>0.05</v>
      </c>
      <c r="I385">
        <v>469.38</v>
      </c>
    </row>
    <row r="386" spans="1:9" x14ac:dyDescent="0.25">
      <c r="A386">
        <v>385</v>
      </c>
      <c r="B386" s="9">
        <v>45532</v>
      </c>
      <c r="C386">
        <v>5</v>
      </c>
      <c r="D386">
        <v>68</v>
      </c>
      <c r="E386">
        <v>1</v>
      </c>
      <c r="F386">
        <v>2</v>
      </c>
      <c r="G386">
        <v>90.53</v>
      </c>
      <c r="H386">
        <v>0.05</v>
      </c>
      <c r="I386">
        <v>172.01</v>
      </c>
    </row>
    <row r="387" spans="1:9" x14ac:dyDescent="0.25">
      <c r="A387">
        <v>386</v>
      </c>
      <c r="B387" s="9">
        <v>45840</v>
      </c>
      <c r="C387">
        <v>7</v>
      </c>
      <c r="D387">
        <v>148</v>
      </c>
      <c r="E387">
        <v>18</v>
      </c>
      <c r="F387">
        <v>1</v>
      </c>
      <c r="G387">
        <v>132.02000000000001</v>
      </c>
      <c r="H387">
        <v>0.05</v>
      </c>
      <c r="I387">
        <v>125.42</v>
      </c>
    </row>
    <row r="388" spans="1:9" x14ac:dyDescent="0.25">
      <c r="A388">
        <v>387</v>
      </c>
      <c r="B388" s="9">
        <v>45268</v>
      </c>
      <c r="C388">
        <v>8</v>
      </c>
      <c r="D388">
        <v>134</v>
      </c>
      <c r="E388">
        <v>1</v>
      </c>
      <c r="F388">
        <v>1</v>
      </c>
      <c r="G388">
        <v>90.53</v>
      </c>
      <c r="H388">
        <v>0.1</v>
      </c>
      <c r="I388">
        <v>81.48</v>
      </c>
    </row>
    <row r="389" spans="1:9" x14ac:dyDescent="0.25">
      <c r="A389">
        <v>388</v>
      </c>
      <c r="B389" s="9">
        <v>45646</v>
      </c>
      <c r="C389">
        <v>8</v>
      </c>
      <c r="D389">
        <v>196</v>
      </c>
      <c r="E389">
        <v>22</v>
      </c>
      <c r="F389">
        <v>1</v>
      </c>
      <c r="G389">
        <v>49.91</v>
      </c>
      <c r="H389">
        <v>0</v>
      </c>
      <c r="I389">
        <v>49.91</v>
      </c>
    </row>
    <row r="390" spans="1:9" x14ac:dyDescent="0.25">
      <c r="A390">
        <v>389</v>
      </c>
      <c r="B390" s="9">
        <v>45013</v>
      </c>
      <c r="C390">
        <v>6</v>
      </c>
      <c r="D390">
        <v>120</v>
      </c>
      <c r="E390">
        <v>46</v>
      </c>
      <c r="F390">
        <v>1</v>
      </c>
      <c r="G390">
        <v>157</v>
      </c>
      <c r="H390">
        <v>0</v>
      </c>
      <c r="I390">
        <v>157</v>
      </c>
    </row>
    <row r="391" spans="1:9" x14ac:dyDescent="0.25">
      <c r="A391">
        <v>390</v>
      </c>
      <c r="B391" s="9">
        <v>45817</v>
      </c>
      <c r="C391">
        <v>5</v>
      </c>
      <c r="D391">
        <v>184</v>
      </c>
      <c r="E391">
        <v>85</v>
      </c>
      <c r="F391">
        <v>1</v>
      </c>
      <c r="G391">
        <v>83.36</v>
      </c>
      <c r="H391">
        <v>0.05</v>
      </c>
      <c r="I391">
        <v>79.19</v>
      </c>
    </row>
    <row r="392" spans="1:9" x14ac:dyDescent="0.25">
      <c r="A392">
        <v>391</v>
      </c>
      <c r="B392" s="9">
        <v>45044</v>
      </c>
      <c r="C392">
        <v>2</v>
      </c>
      <c r="D392">
        <v>12</v>
      </c>
      <c r="E392">
        <v>18</v>
      </c>
      <c r="F392">
        <v>1</v>
      </c>
      <c r="G392">
        <v>132.02000000000001</v>
      </c>
      <c r="H392">
        <v>0.2</v>
      </c>
      <c r="I392">
        <v>105.62</v>
      </c>
    </row>
    <row r="393" spans="1:9" x14ac:dyDescent="0.25">
      <c r="A393">
        <v>392</v>
      </c>
      <c r="B393" s="9">
        <v>45758</v>
      </c>
      <c r="C393">
        <v>6</v>
      </c>
      <c r="D393">
        <v>129</v>
      </c>
      <c r="E393">
        <v>82</v>
      </c>
      <c r="F393">
        <v>1</v>
      </c>
      <c r="G393">
        <v>151.85</v>
      </c>
      <c r="H393">
        <v>0.05</v>
      </c>
      <c r="I393">
        <v>144.26</v>
      </c>
    </row>
    <row r="394" spans="1:9" x14ac:dyDescent="0.25">
      <c r="A394">
        <v>393</v>
      </c>
      <c r="B394" s="9">
        <v>45254</v>
      </c>
      <c r="C394">
        <v>1</v>
      </c>
      <c r="D394">
        <v>18</v>
      </c>
      <c r="E394">
        <v>63</v>
      </c>
      <c r="F394">
        <v>1</v>
      </c>
      <c r="G394">
        <v>239.9</v>
      </c>
      <c r="H394">
        <v>0.1</v>
      </c>
      <c r="I394">
        <v>215.91</v>
      </c>
    </row>
    <row r="395" spans="1:9" x14ac:dyDescent="0.25">
      <c r="A395">
        <v>394</v>
      </c>
      <c r="B395" s="9">
        <v>45219</v>
      </c>
      <c r="C395">
        <v>8</v>
      </c>
      <c r="D395">
        <v>135</v>
      </c>
      <c r="E395">
        <v>43</v>
      </c>
      <c r="F395">
        <v>2</v>
      </c>
      <c r="G395">
        <v>16.04</v>
      </c>
      <c r="H395">
        <v>0.1</v>
      </c>
      <c r="I395">
        <v>28.87</v>
      </c>
    </row>
    <row r="396" spans="1:9" x14ac:dyDescent="0.25">
      <c r="A396">
        <v>395</v>
      </c>
      <c r="B396" s="9">
        <v>44998</v>
      </c>
      <c r="C396">
        <v>3</v>
      </c>
      <c r="D396">
        <v>169</v>
      </c>
      <c r="E396">
        <v>81</v>
      </c>
      <c r="F396">
        <v>1</v>
      </c>
      <c r="G396">
        <v>225.3</v>
      </c>
      <c r="H396">
        <v>0.05</v>
      </c>
      <c r="I396">
        <v>214.03</v>
      </c>
    </row>
    <row r="397" spans="1:9" x14ac:dyDescent="0.25">
      <c r="A397">
        <v>396</v>
      </c>
      <c r="B397" s="9">
        <v>45064</v>
      </c>
      <c r="C397">
        <v>4</v>
      </c>
      <c r="D397">
        <v>216</v>
      </c>
      <c r="E397">
        <v>8</v>
      </c>
      <c r="F397">
        <v>1</v>
      </c>
      <c r="G397">
        <v>259.11</v>
      </c>
      <c r="H397">
        <v>0</v>
      </c>
      <c r="I397">
        <v>259.11</v>
      </c>
    </row>
    <row r="398" spans="1:9" x14ac:dyDescent="0.25">
      <c r="A398">
        <v>397</v>
      </c>
      <c r="B398" s="9">
        <v>45677</v>
      </c>
      <c r="C398">
        <v>6</v>
      </c>
      <c r="D398">
        <v>127</v>
      </c>
      <c r="E398">
        <v>4</v>
      </c>
      <c r="F398">
        <v>1</v>
      </c>
      <c r="G398">
        <v>168</v>
      </c>
      <c r="H398">
        <v>0.1</v>
      </c>
      <c r="I398">
        <v>151.19999999999999</v>
      </c>
    </row>
    <row r="399" spans="1:9" x14ac:dyDescent="0.25">
      <c r="A399">
        <v>398</v>
      </c>
      <c r="B399" s="9">
        <v>45711</v>
      </c>
      <c r="C399">
        <v>1</v>
      </c>
      <c r="D399">
        <v>19</v>
      </c>
      <c r="E399">
        <v>15</v>
      </c>
      <c r="F399">
        <v>1</v>
      </c>
      <c r="G399">
        <v>58.26</v>
      </c>
      <c r="H399">
        <v>0</v>
      </c>
      <c r="I399">
        <v>58.26</v>
      </c>
    </row>
    <row r="400" spans="1:9" x14ac:dyDescent="0.25">
      <c r="A400">
        <v>399</v>
      </c>
      <c r="B400" s="9">
        <v>45241</v>
      </c>
      <c r="C400">
        <v>8</v>
      </c>
      <c r="D400">
        <v>29</v>
      </c>
      <c r="E400">
        <v>10</v>
      </c>
      <c r="F400">
        <v>1</v>
      </c>
      <c r="G400">
        <v>168.82</v>
      </c>
      <c r="H400">
        <v>0.1</v>
      </c>
      <c r="I400">
        <v>151.94</v>
      </c>
    </row>
    <row r="401" spans="1:9" x14ac:dyDescent="0.25">
      <c r="A401">
        <v>400</v>
      </c>
      <c r="B401" s="9">
        <v>45686</v>
      </c>
      <c r="C401">
        <v>6</v>
      </c>
      <c r="D401">
        <v>107</v>
      </c>
      <c r="E401">
        <v>29</v>
      </c>
      <c r="F401">
        <v>3</v>
      </c>
      <c r="G401">
        <v>138.6</v>
      </c>
      <c r="H401">
        <v>0.1</v>
      </c>
      <c r="I401">
        <v>374.22</v>
      </c>
    </row>
    <row r="402" spans="1:9" x14ac:dyDescent="0.25">
      <c r="A402">
        <v>401</v>
      </c>
      <c r="B402" s="9">
        <v>45836</v>
      </c>
      <c r="C402">
        <v>2</v>
      </c>
      <c r="D402">
        <v>73</v>
      </c>
      <c r="E402">
        <v>21</v>
      </c>
      <c r="F402">
        <v>1</v>
      </c>
      <c r="G402">
        <v>187.71</v>
      </c>
      <c r="H402">
        <v>0</v>
      </c>
      <c r="I402">
        <v>187.71</v>
      </c>
    </row>
    <row r="403" spans="1:9" x14ac:dyDescent="0.25">
      <c r="A403">
        <v>402</v>
      </c>
      <c r="B403" s="9">
        <v>45208</v>
      </c>
      <c r="C403">
        <v>6</v>
      </c>
      <c r="D403">
        <v>127</v>
      </c>
      <c r="E403">
        <v>9</v>
      </c>
      <c r="F403">
        <v>1</v>
      </c>
      <c r="G403">
        <v>152.78</v>
      </c>
      <c r="H403">
        <v>0</v>
      </c>
      <c r="I403">
        <v>152.78</v>
      </c>
    </row>
    <row r="404" spans="1:9" x14ac:dyDescent="0.25">
      <c r="A404">
        <v>403</v>
      </c>
      <c r="B404" s="9">
        <v>45742</v>
      </c>
      <c r="C404">
        <v>6</v>
      </c>
      <c r="D404">
        <v>161</v>
      </c>
      <c r="E404">
        <v>5</v>
      </c>
      <c r="F404">
        <v>1</v>
      </c>
      <c r="G404">
        <v>55.26</v>
      </c>
      <c r="H404">
        <v>0.05</v>
      </c>
      <c r="I404">
        <v>52.5</v>
      </c>
    </row>
    <row r="405" spans="1:9" x14ac:dyDescent="0.25">
      <c r="A405">
        <v>404</v>
      </c>
      <c r="B405" s="9">
        <v>45497</v>
      </c>
      <c r="C405">
        <v>4</v>
      </c>
      <c r="D405">
        <v>46</v>
      </c>
      <c r="E405">
        <v>15</v>
      </c>
      <c r="F405">
        <v>2</v>
      </c>
      <c r="G405">
        <v>58.26</v>
      </c>
      <c r="H405">
        <v>0</v>
      </c>
      <c r="I405">
        <v>116.52</v>
      </c>
    </row>
    <row r="406" spans="1:9" x14ac:dyDescent="0.25">
      <c r="A406">
        <v>405</v>
      </c>
      <c r="B406" s="9">
        <v>45159</v>
      </c>
      <c r="C406">
        <v>1</v>
      </c>
      <c r="D406">
        <v>35</v>
      </c>
      <c r="E406">
        <v>14</v>
      </c>
      <c r="F406">
        <v>4</v>
      </c>
      <c r="G406">
        <v>70.08</v>
      </c>
      <c r="H406">
        <v>0.1</v>
      </c>
      <c r="I406">
        <v>252.29</v>
      </c>
    </row>
    <row r="407" spans="1:9" x14ac:dyDescent="0.25">
      <c r="A407">
        <v>406</v>
      </c>
      <c r="B407" s="9">
        <v>45308</v>
      </c>
      <c r="C407">
        <v>8</v>
      </c>
      <c r="D407">
        <v>199</v>
      </c>
      <c r="E407">
        <v>51</v>
      </c>
      <c r="F407">
        <v>1</v>
      </c>
      <c r="G407">
        <v>302.75</v>
      </c>
      <c r="H407">
        <v>0</v>
      </c>
      <c r="I407">
        <v>302.75</v>
      </c>
    </row>
    <row r="408" spans="1:9" x14ac:dyDescent="0.25">
      <c r="A408">
        <v>407</v>
      </c>
      <c r="B408" s="9">
        <v>45719</v>
      </c>
      <c r="C408">
        <v>2</v>
      </c>
      <c r="D408">
        <v>199</v>
      </c>
      <c r="E408">
        <v>8</v>
      </c>
      <c r="F408">
        <v>1</v>
      </c>
      <c r="G408">
        <v>259.11</v>
      </c>
      <c r="H408">
        <v>0.15</v>
      </c>
      <c r="I408">
        <v>220.24</v>
      </c>
    </row>
    <row r="409" spans="1:9" x14ac:dyDescent="0.25">
      <c r="A409">
        <v>408</v>
      </c>
      <c r="B409" s="9">
        <v>45463</v>
      </c>
      <c r="C409">
        <v>5</v>
      </c>
      <c r="D409">
        <v>44</v>
      </c>
      <c r="E409">
        <v>73</v>
      </c>
      <c r="F409">
        <v>2</v>
      </c>
      <c r="G409">
        <v>8.39</v>
      </c>
      <c r="H409">
        <v>0.1</v>
      </c>
      <c r="I409">
        <v>15.1</v>
      </c>
    </row>
    <row r="410" spans="1:9" x14ac:dyDescent="0.25">
      <c r="A410">
        <v>409</v>
      </c>
      <c r="B410" s="9">
        <v>45840</v>
      </c>
      <c r="C410">
        <v>4</v>
      </c>
      <c r="D410">
        <v>206</v>
      </c>
      <c r="E410">
        <v>40</v>
      </c>
      <c r="F410">
        <v>1</v>
      </c>
      <c r="G410">
        <v>144.41999999999999</v>
      </c>
      <c r="H410">
        <v>0</v>
      </c>
      <c r="I410">
        <v>144.41999999999999</v>
      </c>
    </row>
    <row r="411" spans="1:9" x14ac:dyDescent="0.25">
      <c r="A411">
        <v>410</v>
      </c>
      <c r="B411" s="9">
        <v>45511</v>
      </c>
      <c r="C411">
        <v>8</v>
      </c>
      <c r="D411">
        <v>11</v>
      </c>
      <c r="E411">
        <v>9</v>
      </c>
      <c r="F411">
        <v>1</v>
      </c>
      <c r="G411">
        <v>152.78</v>
      </c>
      <c r="H411">
        <v>0</v>
      </c>
      <c r="I411">
        <v>152.78</v>
      </c>
    </row>
    <row r="412" spans="1:9" x14ac:dyDescent="0.25">
      <c r="A412">
        <v>411</v>
      </c>
      <c r="B412" s="9">
        <v>45336</v>
      </c>
      <c r="C412">
        <v>2</v>
      </c>
      <c r="D412">
        <v>10</v>
      </c>
      <c r="E412">
        <v>82</v>
      </c>
      <c r="F412">
        <v>1</v>
      </c>
      <c r="G412">
        <v>151.85</v>
      </c>
      <c r="H412">
        <v>0</v>
      </c>
      <c r="I412">
        <v>151.85</v>
      </c>
    </row>
    <row r="413" spans="1:9" x14ac:dyDescent="0.25">
      <c r="A413">
        <v>412</v>
      </c>
      <c r="B413" s="9">
        <v>45204</v>
      </c>
      <c r="C413">
        <v>2</v>
      </c>
      <c r="D413">
        <v>137</v>
      </c>
      <c r="E413">
        <v>85</v>
      </c>
      <c r="F413">
        <v>1</v>
      </c>
      <c r="G413">
        <v>83.36</v>
      </c>
      <c r="H413">
        <v>0</v>
      </c>
      <c r="I413">
        <v>83.36</v>
      </c>
    </row>
    <row r="414" spans="1:9" x14ac:dyDescent="0.25">
      <c r="A414">
        <v>413</v>
      </c>
      <c r="B414" s="9">
        <v>45852</v>
      </c>
      <c r="C414">
        <v>3</v>
      </c>
      <c r="D414">
        <v>5</v>
      </c>
      <c r="E414">
        <v>14</v>
      </c>
      <c r="F414">
        <v>1</v>
      </c>
      <c r="G414">
        <v>70.08</v>
      </c>
      <c r="H414">
        <v>0.1</v>
      </c>
      <c r="I414">
        <v>63.07</v>
      </c>
    </row>
    <row r="415" spans="1:9" x14ac:dyDescent="0.25">
      <c r="A415">
        <v>414</v>
      </c>
      <c r="B415" s="9">
        <v>45838</v>
      </c>
      <c r="C415">
        <v>2</v>
      </c>
      <c r="D415">
        <v>208</v>
      </c>
      <c r="E415">
        <v>31</v>
      </c>
      <c r="F415">
        <v>3</v>
      </c>
      <c r="G415">
        <v>165.45</v>
      </c>
      <c r="H415">
        <v>0.05</v>
      </c>
      <c r="I415">
        <v>471.53</v>
      </c>
    </row>
    <row r="416" spans="1:9" x14ac:dyDescent="0.25">
      <c r="A416">
        <v>415</v>
      </c>
      <c r="B416" s="9">
        <v>45581</v>
      </c>
      <c r="C416">
        <v>6</v>
      </c>
      <c r="D416">
        <v>82</v>
      </c>
      <c r="E416">
        <v>43</v>
      </c>
      <c r="F416">
        <v>1</v>
      </c>
      <c r="G416">
        <v>16.04</v>
      </c>
      <c r="H416">
        <v>0.05</v>
      </c>
      <c r="I416">
        <v>15.24</v>
      </c>
    </row>
    <row r="417" spans="1:9" x14ac:dyDescent="0.25">
      <c r="A417">
        <v>416</v>
      </c>
      <c r="B417" s="9">
        <v>45059</v>
      </c>
      <c r="C417">
        <v>5</v>
      </c>
      <c r="D417">
        <v>154</v>
      </c>
      <c r="E417">
        <v>39</v>
      </c>
      <c r="F417">
        <v>3</v>
      </c>
      <c r="G417">
        <v>181.34</v>
      </c>
      <c r="H417">
        <v>0</v>
      </c>
      <c r="I417">
        <v>544.02</v>
      </c>
    </row>
    <row r="418" spans="1:9" x14ac:dyDescent="0.25">
      <c r="A418">
        <v>417</v>
      </c>
      <c r="B418" s="9">
        <v>45541</v>
      </c>
      <c r="C418">
        <v>3</v>
      </c>
      <c r="D418">
        <v>97</v>
      </c>
      <c r="E418">
        <v>54</v>
      </c>
      <c r="F418">
        <v>1</v>
      </c>
      <c r="G418">
        <v>245.9</v>
      </c>
      <c r="H418">
        <v>0</v>
      </c>
      <c r="I418">
        <v>245.9</v>
      </c>
    </row>
    <row r="419" spans="1:9" x14ac:dyDescent="0.25">
      <c r="A419">
        <v>418</v>
      </c>
      <c r="B419" s="9">
        <v>45283</v>
      </c>
      <c r="C419">
        <v>6</v>
      </c>
      <c r="D419">
        <v>39</v>
      </c>
      <c r="E419">
        <v>78</v>
      </c>
      <c r="F419">
        <v>2</v>
      </c>
      <c r="G419">
        <v>25.66</v>
      </c>
      <c r="H419">
        <v>0</v>
      </c>
      <c r="I419">
        <v>51.32</v>
      </c>
    </row>
    <row r="420" spans="1:9" x14ac:dyDescent="0.25">
      <c r="A420">
        <v>419</v>
      </c>
      <c r="B420" s="9">
        <v>45968</v>
      </c>
      <c r="C420">
        <v>4</v>
      </c>
      <c r="D420">
        <v>57</v>
      </c>
      <c r="E420">
        <v>65</v>
      </c>
      <c r="F420">
        <v>4</v>
      </c>
      <c r="G420">
        <v>71.14</v>
      </c>
      <c r="H420">
        <v>0</v>
      </c>
      <c r="I420">
        <v>284.56</v>
      </c>
    </row>
    <row r="421" spans="1:9" x14ac:dyDescent="0.25">
      <c r="A421">
        <v>420</v>
      </c>
      <c r="B421" s="9">
        <v>45175</v>
      </c>
      <c r="C421">
        <v>4</v>
      </c>
      <c r="D421">
        <v>205</v>
      </c>
      <c r="E421">
        <v>62</v>
      </c>
      <c r="F421">
        <v>1</v>
      </c>
      <c r="G421">
        <v>82.81</v>
      </c>
      <c r="H421">
        <v>0</v>
      </c>
      <c r="I421">
        <v>82.81</v>
      </c>
    </row>
    <row r="422" spans="1:9" x14ac:dyDescent="0.25">
      <c r="A422">
        <v>421</v>
      </c>
      <c r="B422" s="9">
        <v>45211</v>
      </c>
      <c r="C422">
        <v>4</v>
      </c>
      <c r="D422">
        <v>55</v>
      </c>
      <c r="E422">
        <v>29</v>
      </c>
      <c r="F422">
        <v>1</v>
      </c>
      <c r="G422">
        <v>138.6</v>
      </c>
      <c r="H422">
        <v>0.1</v>
      </c>
      <c r="I422">
        <v>124.74</v>
      </c>
    </row>
    <row r="423" spans="1:9" x14ac:dyDescent="0.25">
      <c r="A423">
        <v>422</v>
      </c>
      <c r="B423" s="9">
        <v>45938</v>
      </c>
      <c r="C423">
        <v>1</v>
      </c>
      <c r="D423">
        <v>76</v>
      </c>
      <c r="E423">
        <v>93</v>
      </c>
      <c r="F423">
        <v>1</v>
      </c>
      <c r="G423">
        <v>239.23</v>
      </c>
      <c r="H423">
        <v>0.2</v>
      </c>
      <c r="I423">
        <v>191.38</v>
      </c>
    </row>
    <row r="424" spans="1:9" x14ac:dyDescent="0.25">
      <c r="A424">
        <v>423</v>
      </c>
      <c r="B424" s="9">
        <v>45666</v>
      </c>
      <c r="C424">
        <v>6</v>
      </c>
      <c r="D424">
        <v>21</v>
      </c>
      <c r="E424">
        <v>38</v>
      </c>
      <c r="F424">
        <v>2</v>
      </c>
      <c r="G424">
        <v>35.35</v>
      </c>
      <c r="H424">
        <v>0.05</v>
      </c>
      <c r="I424">
        <v>67.17</v>
      </c>
    </row>
    <row r="425" spans="1:9" x14ac:dyDescent="0.25">
      <c r="A425">
        <v>424</v>
      </c>
      <c r="B425" s="9">
        <v>45884</v>
      </c>
      <c r="C425">
        <v>3</v>
      </c>
      <c r="D425">
        <v>93</v>
      </c>
      <c r="E425">
        <v>8</v>
      </c>
      <c r="F425">
        <v>1</v>
      </c>
      <c r="G425">
        <v>259.11</v>
      </c>
      <c r="H425">
        <v>0</v>
      </c>
      <c r="I425">
        <v>259.11</v>
      </c>
    </row>
    <row r="426" spans="1:9" x14ac:dyDescent="0.25">
      <c r="A426">
        <v>425</v>
      </c>
      <c r="B426" s="9">
        <v>45103</v>
      </c>
      <c r="C426">
        <v>2</v>
      </c>
      <c r="D426">
        <v>168</v>
      </c>
      <c r="E426">
        <v>48</v>
      </c>
      <c r="F426">
        <v>2</v>
      </c>
      <c r="G426">
        <v>146.85</v>
      </c>
      <c r="H426">
        <v>0.05</v>
      </c>
      <c r="I426">
        <v>279.01</v>
      </c>
    </row>
    <row r="427" spans="1:9" x14ac:dyDescent="0.25">
      <c r="A427">
        <v>426</v>
      </c>
      <c r="B427" s="9">
        <v>45560</v>
      </c>
      <c r="C427">
        <v>7</v>
      </c>
      <c r="D427">
        <v>90</v>
      </c>
      <c r="E427">
        <v>55</v>
      </c>
      <c r="F427">
        <v>2</v>
      </c>
      <c r="G427">
        <v>193.33</v>
      </c>
      <c r="H427">
        <v>0</v>
      </c>
      <c r="I427">
        <v>386.66</v>
      </c>
    </row>
    <row r="428" spans="1:9" x14ac:dyDescent="0.25">
      <c r="A428">
        <v>427</v>
      </c>
      <c r="B428" s="9">
        <v>45907</v>
      </c>
      <c r="C428">
        <v>7</v>
      </c>
      <c r="D428">
        <v>131</v>
      </c>
      <c r="E428">
        <v>95</v>
      </c>
      <c r="F428">
        <v>3</v>
      </c>
      <c r="G428">
        <v>201.94</v>
      </c>
      <c r="H428">
        <v>0</v>
      </c>
      <c r="I428">
        <v>605.82000000000005</v>
      </c>
    </row>
    <row r="429" spans="1:9" x14ac:dyDescent="0.25">
      <c r="A429">
        <v>428</v>
      </c>
      <c r="B429" s="9">
        <v>45765</v>
      </c>
      <c r="C429">
        <v>2</v>
      </c>
      <c r="D429">
        <v>90</v>
      </c>
      <c r="E429">
        <v>35</v>
      </c>
      <c r="F429">
        <v>2</v>
      </c>
      <c r="G429">
        <v>303.48</v>
      </c>
      <c r="H429">
        <v>0</v>
      </c>
      <c r="I429">
        <v>606.96</v>
      </c>
    </row>
    <row r="430" spans="1:9" x14ac:dyDescent="0.25">
      <c r="A430">
        <v>429</v>
      </c>
      <c r="B430" s="9">
        <v>45183</v>
      </c>
      <c r="C430">
        <v>6</v>
      </c>
      <c r="D430">
        <v>212</v>
      </c>
      <c r="E430">
        <v>71</v>
      </c>
      <c r="F430">
        <v>1</v>
      </c>
      <c r="G430">
        <v>225.61</v>
      </c>
      <c r="H430">
        <v>0</v>
      </c>
      <c r="I430">
        <v>225.61</v>
      </c>
    </row>
    <row r="431" spans="1:9" x14ac:dyDescent="0.25">
      <c r="A431">
        <v>430</v>
      </c>
      <c r="B431" s="9">
        <v>45078</v>
      </c>
      <c r="C431">
        <v>8</v>
      </c>
      <c r="D431">
        <v>196</v>
      </c>
      <c r="E431">
        <v>29</v>
      </c>
      <c r="F431">
        <v>1</v>
      </c>
      <c r="G431">
        <v>138.6</v>
      </c>
      <c r="H431">
        <v>0.15</v>
      </c>
      <c r="I431">
        <v>117.81</v>
      </c>
    </row>
    <row r="432" spans="1:9" x14ac:dyDescent="0.25">
      <c r="A432">
        <v>431</v>
      </c>
      <c r="B432" s="9">
        <v>45881</v>
      </c>
      <c r="C432">
        <v>6</v>
      </c>
      <c r="D432">
        <v>180</v>
      </c>
      <c r="E432">
        <v>86</v>
      </c>
      <c r="F432">
        <v>1</v>
      </c>
      <c r="G432">
        <v>99.19</v>
      </c>
      <c r="H432">
        <v>0</v>
      </c>
      <c r="I432">
        <v>99.19</v>
      </c>
    </row>
    <row r="433" spans="1:9" x14ac:dyDescent="0.25">
      <c r="A433">
        <v>432</v>
      </c>
      <c r="B433" s="9">
        <v>45189</v>
      </c>
      <c r="C433">
        <v>3</v>
      </c>
      <c r="D433">
        <v>165</v>
      </c>
      <c r="E433">
        <v>26</v>
      </c>
      <c r="F433">
        <v>1</v>
      </c>
      <c r="G433">
        <v>211.87</v>
      </c>
      <c r="H433">
        <v>0</v>
      </c>
      <c r="I433">
        <v>211.87</v>
      </c>
    </row>
    <row r="434" spans="1:9" x14ac:dyDescent="0.25">
      <c r="A434">
        <v>433</v>
      </c>
      <c r="B434" s="9">
        <v>45191</v>
      </c>
      <c r="C434">
        <v>7</v>
      </c>
      <c r="D434">
        <v>201</v>
      </c>
      <c r="E434">
        <v>49</v>
      </c>
      <c r="F434">
        <v>1</v>
      </c>
      <c r="G434">
        <v>130.58000000000001</v>
      </c>
      <c r="H434">
        <v>0.05</v>
      </c>
      <c r="I434">
        <v>124.05</v>
      </c>
    </row>
    <row r="435" spans="1:9" x14ac:dyDescent="0.25">
      <c r="A435">
        <v>434</v>
      </c>
      <c r="B435" s="9">
        <v>45956</v>
      </c>
      <c r="C435">
        <v>1</v>
      </c>
      <c r="D435">
        <v>32</v>
      </c>
      <c r="E435">
        <v>60</v>
      </c>
      <c r="F435">
        <v>1</v>
      </c>
      <c r="G435">
        <v>101.29</v>
      </c>
      <c r="H435">
        <v>0.05</v>
      </c>
      <c r="I435">
        <v>96.23</v>
      </c>
    </row>
    <row r="436" spans="1:9" x14ac:dyDescent="0.25">
      <c r="A436">
        <v>435</v>
      </c>
      <c r="B436" s="9">
        <v>45181</v>
      </c>
      <c r="C436">
        <v>3</v>
      </c>
      <c r="D436">
        <v>138</v>
      </c>
      <c r="E436">
        <v>66</v>
      </c>
      <c r="F436">
        <v>2</v>
      </c>
      <c r="G436">
        <v>169.57</v>
      </c>
      <c r="H436">
        <v>0</v>
      </c>
      <c r="I436">
        <v>339.14</v>
      </c>
    </row>
    <row r="437" spans="1:9" x14ac:dyDescent="0.25">
      <c r="A437">
        <v>436</v>
      </c>
      <c r="B437" s="9">
        <v>45549</v>
      </c>
      <c r="C437">
        <v>3</v>
      </c>
      <c r="D437">
        <v>150</v>
      </c>
      <c r="E437">
        <v>96</v>
      </c>
      <c r="F437">
        <v>1</v>
      </c>
      <c r="G437">
        <v>132.69</v>
      </c>
      <c r="H437">
        <v>0.15</v>
      </c>
      <c r="I437">
        <v>112.79</v>
      </c>
    </row>
    <row r="438" spans="1:9" x14ac:dyDescent="0.25">
      <c r="A438">
        <v>437</v>
      </c>
      <c r="B438" s="9">
        <v>45258</v>
      </c>
      <c r="C438">
        <v>6</v>
      </c>
      <c r="D438">
        <v>193</v>
      </c>
      <c r="E438">
        <v>81</v>
      </c>
      <c r="F438">
        <v>1</v>
      </c>
      <c r="G438">
        <v>225.3</v>
      </c>
      <c r="H438">
        <v>0</v>
      </c>
      <c r="I438">
        <v>225.3</v>
      </c>
    </row>
    <row r="439" spans="1:9" x14ac:dyDescent="0.25">
      <c r="A439">
        <v>438</v>
      </c>
      <c r="B439" s="9">
        <v>45388</v>
      </c>
      <c r="C439">
        <v>6</v>
      </c>
      <c r="D439">
        <v>91</v>
      </c>
      <c r="E439">
        <v>80</v>
      </c>
      <c r="F439">
        <v>1</v>
      </c>
      <c r="G439">
        <v>33.380000000000003</v>
      </c>
      <c r="H439">
        <v>0</v>
      </c>
      <c r="I439">
        <v>33.380000000000003</v>
      </c>
    </row>
    <row r="440" spans="1:9" x14ac:dyDescent="0.25">
      <c r="A440">
        <v>439</v>
      </c>
      <c r="B440" s="9">
        <v>45508</v>
      </c>
      <c r="C440">
        <v>2</v>
      </c>
      <c r="D440">
        <v>214</v>
      </c>
      <c r="E440">
        <v>92</v>
      </c>
      <c r="F440">
        <v>1</v>
      </c>
      <c r="G440">
        <v>223.32</v>
      </c>
      <c r="H440">
        <v>0</v>
      </c>
      <c r="I440">
        <v>223.32</v>
      </c>
    </row>
    <row r="441" spans="1:9" x14ac:dyDescent="0.25">
      <c r="A441">
        <v>440</v>
      </c>
      <c r="B441" s="9">
        <v>45440</v>
      </c>
      <c r="C441">
        <v>4</v>
      </c>
      <c r="D441">
        <v>203</v>
      </c>
      <c r="E441">
        <v>79</v>
      </c>
      <c r="F441">
        <v>1</v>
      </c>
      <c r="G441">
        <v>117.59</v>
      </c>
      <c r="H441">
        <v>0.2</v>
      </c>
      <c r="I441">
        <v>94.07</v>
      </c>
    </row>
    <row r="442" spans="1:9" x14ac:dyDescent="0.25">
      <c r="A442">
        <v>441</v>
      </c>
      <c r="B442" s="9">
        <v>45489</v>
      </c>
      <c r="C442">
        <v>3</v>
      </c>
      <c r="D442">
        <v>12</v>
      </c>
      <c r="E442">
        <v>82</v>
      </c>
      <c r="F442">
        <v>3</v>
      </c>
      <c r="G442">
        <v>151.85</v>
      </c>
      <c r="H442">
        <v>0.1</v>
      </c>
      <c r="I442">
        <v>409.99</v>
      </c>
    </row>
    <row r="443" spans="1:9" x14ac:dyDescent="0.25">
      <c r="A443">
        <v>442</v>
      </c>
      <c r="B443" s="9">
        <v>45547</v>
      </c>
      <c r="C443">
        <v>2</v>
      </c>
      <c r="D443">
        <v>133</v>
      </c>
      <c r="E443">
        <v>55</v>
      </c>
      <c r="F443">
        <v>2</v>
      </c>
      <c r="G443">
        <v>193.33</v>
      </c>
      <c r="H443">
        <v>0</v>
      </c>
      <c r="I443">
        <v>386.66</v>
      </c>
    </row>
    <row r="444" spans="1:9" x14ac:dyDescent="0.25">
      <c r="A444">
        <v>443</v>
      </c>
      <c r="B444" s="9">
        <v>45956</v>
      </c>
      <c r="C444">
        <v>3</v>
      </c>
      <c r="D444">
        <v>49</v>
      </c>
      <c r="E444">
        <v>59</v>
      </c>
      <c r="F444">
        <v>1</v>
      </c>
      <c r="G444">
        <v>17.41</v>
      </c>
      <c r="H444">
        <v>0</v>
      </c>
      <c r="I444">
        <v>17.41</v>
      </c>
    </row>
    <row r="445" spans="1:9" x14ac:dyDescent="0.25">
      <c r="A445">
        <v>444</v>
      </c>
      <c r="B445" s="9">
        <v>45242</v>
      </c>
      <c r="C445">
        <v>3</v>
      </c>
      <c r="D445">
        <v>85</v>
      </c>
      <c r="E445">
        <v>54</v>
      </c>
      <c r="F445">
        <v>1</v>
      </c>
      <c r="G445">
        <v>245.9</v>
      </c>
      <c r="H445">
        <v>0.15</v>
      </c>
      <c r="I445">
        <v>209.01</v>
      </c>
    </row>
    <row r="446" spans="1:9" x14ac:dyDescent="0.25">
      <c r="A446">
        <v>445</v>
      </c>
      <c r="B446" s="9">
        <v>45618</v>
      </c>
      <c r="C446">
        <v>1</v>
      </c>
      <c r="D446">
        <v>148</v>
      </c>
      <c r="E446">
        <v>51</v>
      </c>
      <c r="F446">
        <v>4</v>
      </c>
      <c r="G446">
        <v>302.75</v>
      </c>
      <c r="H446">
        <v>0</v>
      </c>
      <c r="I446">
        <v>1211</v>
      </c>
    </row>
    <row r="447" spans="1:9" x14ac:dyDescent="0.25">
      <c r="A447">
        <v>446</v>
      </c>
      <c r="B447" s="9">
        <v>44985</v>
      </c>
      <c r="C447">
        <v>2</v>
      </c>
      <c r="D447">
        <v>51</v>
      </c>
      <c r="E447">
        <v>89</v>
      </c>
      <c r="F447">
        <v>1</v>
      </c>
      <c r="G447">
        <v>247.43</v>
      </c>
      <c r="H447">
        <v>0</v>
      </c>
      <c r="I447">
        <v>247.43</v>
      </c>
    </row>
    <row r="448" spans="1:9" x14ac:dyDescent="0.25">
      <c r="A448">
        <v>447</v>
      </c>
      <c r="B448" s="9">
        <v>45020</v>
      </c>
      <c r="C448">
        <v>5</v>
      </c>
      <c r="D448">
        <v>203</v>
      </c>
      <c r="E448">
        <v>71</v>
      </c>
      <c r="F448">
        <v>1</v>
      </c>
      <c r="G448">
        <v>225.61</v>
      </c>
      <c r="H448">
        <v>0.2</v>
      </c>
      <c r="I448">
        <v>180.49</v>
      </c>
    </row>
    <row r="449" spans="1:9" x14ac:dyDescent="0.25">
      <c r="A449">
        <v>448</v>
      </c>
      <c r="B449" s="9">
        <v>45358</v>
      </c>
      <c r="C449">
        <v>7</v>
      </c>
      <c r="D449">
        <v>144</v>
      </c>
      <c r="E449">
        <v>97</v>
      </c>
      <c r="F449">
        <v>1</v>
      </c>
      <c r="G449">
        <v>158.26</v>
      </c>
      <c r="H449">
        <v>0.1</v>
      </c>
      <c r="I449">
        <v>142.43</v>
      </c>
    </row>
    <row r="450" spans="1:9" x14ac:dyDescent="0.25">
      <c r="A450">
        <v>449</v>
      </c>
      <c r="B450" s="9">
        <v>44989</v>
      </c>
      <c r="C450">
        <v>8</v>
      </c>
      <c r="D450">
        <v>135</v>
      </c>
      <c r="E450">
        <v>75</v>
      </c>
      <c r="F450">
        <v>1</v>
      </c>
      <c r="G450">
        <v>205.69</v>
      </c>
      <c r="H450">
        <v>0</v>
      </c>
      <c r="I450">
        <v>205.69</v>
      </c>
    </row>
    <row r="451" spans="1:9" x14ac:dyDescent="0.25">
      <c r="A451">
        <v>450</v>
      </c>
      <c r="B451" s="9">
        <v>45520</v>
      </c>
      <c r="C451">
        <v>5</v>
      </c>
      <c r="D451">
        <v>129</v>
      </c>
      <c r="E451">
        <v>9</v>
      </c>
      <c r="F451">
        <v>1</v>
      </c>
      <c r="G451">
        <v>152.78</v>
      </c>
      <c r="H451">
        <v>0.1</v>
      </c>
      <c r="I451">
        <v>137.5</v>
      </c>
    </row>
    <row r="452" spans="1:9" x14ac:dyDescent="0.25">
      <c r="A452">
        <v>451</v>
      </c>
      <c r="B452" s="9">
        <v>45916</v>
      </c>
      <c r="C452">
        <v>4</v>
      </c>
      <c r="D452">
        <v>199</v>
      </c>
      <c r="E452">
        <v>3</v>
      </c>
      <c r="F452">
        <v>1</v>
      </c>
      <c r="G452">
        <v>190.58</v>
      </c>
      <c r="H452">
        <v>0</v>
      </c>
      <c r="I452">
        <v>190.58</v>
      </c>
    </row>
    <row r="453" spans="1:9" x14ac:dyDescent="0.25">
      <c r="A453">
        <v>452</v>
      </c>
      <c r="B453" s="9">
        <v>45758</v>
      </c>
      <c r="C453">
        <v>5</v>
      </c>
      <c r="D453">
        <v>180</v>
      </c>
      <c r="E453">
        <v>62</v>
      </c>
      <c r="F453">
        <v>1</v>
      </c>
      <c r="G453">
        <v>82.81</v>
      </c>
      <c r="H453">
        <v>0.05</v>
      </c>
      <c r="I453">
        <v>78.67</v>
      </c>
    </row>
    <row r="454" spans="1:9" x14ac:dyDescent="0.25">
      <c r="A454">
        <v>453</v>
      </c>
      <c r="B454" s="9">
        <v>45855</v>
      </c>
      <c r="C454">
        <v>2</v>
      </c>
      <c r="D454">
        <v>81</v>
      </c>
      <c r="E454">
        <v>90</v>
      </c>
      <c r="F454">
        <v>5</v>
      </c>
      <c r="G454">
        <v>122.32</v>
      </c>
      <c r="H454">
        <v>0</v>
      </c>
      <c r="I454">
        <v>611.6</v>
      </c>
    </row>
    <row r="455" spans="1:9" x14ac:dyDescent="0.25">
      <c r="A455">
        <v>454</v>
      </c>
      <c r="B455" s="9">
        <v>45049</v>
      </c>
      <c r="C455">
        <v>3</v>
      </c>
      <c r="D455">
        <v>139</v>
      </c>
      <c r="E455">
        <v>11</v>
      </c>
      <c r="F455">
        <v>1</v>
      </c>
      <c r="G455">
        <v>11.53</v>
      </c>
      <c r="H455">
        <v>0.05</v>
      </c>
      <c r="I455">
        <v>10.95</v>
      </c>
    </row>
    <row r="456" spans="1:9" x14ac:dyDescent="0.25">
      <c r="A456">
        <v>455</v>
      </c>
      <c r="B456" s="9">
        <v>45827</v>
      </c>
      <c r="C456">
        <v>7</v>
      </c>
      <c r="D456">
        <v>195</v>
      </c>
      <c r="E456">
        <v>40</v>
      </c>
      <c r="F456">
        <v>1</v>
      </c>
      <c r="G456">
        <v>144.41999999999999</v>
      </c>
      <c r="H456">
        <v>0</v>
      </c>
      <c r="I456">
        <v>144.41999999999999</v>
      </c>
    </row>
    <row r="457" spans="1:9" x14ac:dyDescent="0.25">
      <c r="A457">
        <v>456</v>
      </c>
      <c r="B457" s="9">
        <v>45918</v>
      </c>
      <c r="C457">
        <v>8</v>
      </c>
      <c r="D457">
        <v>14</v>
      </c>
      <c r="E457">
        <v>43</v>
      </c>
      <c r="F457">
        <v>2</v>
      </c>
      <c r="G457">
        <v>16.04</v>
      </c>
      <c r="H457">
        <v>0</v>
      </c>
      <c r="I457">
        <v>32.08</v>
      </c>
    </row>
    <row r="458" spans="1:9" x14ac:dyDescent="0.25">
      <c r="A458">
        <v>457</v>
      </c>
      <c r="B458" s="9">
        <v>45344</v>
      </c>
      <c r="C458">
        <v>6</v>
      </c>
      <c r="D458">
        <v>220</v>
      </c>
      <c r="E458">
        <v>36</v>
      </c>
      <c r="F458">
        <v>1</v>
      </c>
      <c r="G458">
        <v>211.43</v>
      </c>
      <c r="H458">
        <v>0</v>
      </c>
      <c r="I458">
        <v>211.43</v>
      </c>
    </row>
    <row r="459" spans="1:9" x14ac:dyDescent="0.25">
      <c r="A459">
        <v>458</v>
      </c>
      <c r="B459" s="9">
        <v>45221</v>
      </c>
      <c r="C459">
        <v>6</v>
      </c>
      <c r="D459">
        <v>83</v>
      </c>
      <c r="E459">
        <v>46</v>
      </c>
      <c r="F459">
        <v>1</v>
      </c>
      <c r="G459">
        <v>157</v>
      </c>
      <c r="H459">
        <v>0</v>
      </c>
      <c r="I459">
        <v>157</v>
      </c>
    </row>
    <row r="460" spans="1:9" x14ac:dyDescent="0.25">
      <c r="A460">
        <v>459</v>
      </c>
      <c r="B460" s="9">
        <v>45580</v>
      </c>
      <c r="C460">
        <v>6</v>
      </c>
      <c r="D460">
        <v>21</v>
      </c>
      <c r="E460">
        <v>46</v>
      </c>
      <c r="F460">
        <v>1</v>
      </c>
      <c r="G460">
        <v>157</v>
      </c>
      <c r="H460">
        <v>0</v>
      </c>
      <c r="I460">
        <v>157</v>
      </c>
    </row>
    <row r="461" spans="1:9" x14ac:dyDescent="0.25">
      <c r="A461">
        <v>460</v>
      </c>
      <c r="B461" s="9">
        <v>45743</v>
      </c>
      <c r="C461">
        <v>3</v>
      </c>
      <c r="D461">
        <v>97</v>
      </c>
      <c r="E461">
        <v>45</v>
      </c>
      <c r="F461">
        <v>1</v>
      </c>
      <c r="G461">
        <v>70.989999999999995</v>
      </c>
      <c r="H461">
        <v>0</v>
      </c>
      <c r="I461">
        <v>70.989999999999995</v>
      </c>
    </row>
    <row r="462" spans="1:9" x14ac:dyDescent="0.25">
      <c r="A462">
        <v>461</v>
      </c>
      <c r="B462" s="9">
        <v>45685</v>
      </c>
      <c r="C462">
        <v>2</v>
      </c>
      <c r="D462">
        <v>129</v>
      </c>
      <c r="E462">
        <v>98</v>
      </c>
      <c r="F462">
        <v>2</v>
      </c>
      <c r="G462">
        <v>136.97</v>
      </c>
      <c r="H462">
        <v>0.1</v>
      </c>
      <c r="I462">
        <v>246.55</v>
      </c>
    </row>
    <row r="463" spans="1:9" x14ac:dyDescent="0.25">
      <c r="A463">
        <v>462</v>
      </c>
      <c r="B463" s="9">
        <v>45580</v>
      </c>
      <c r="C463">
        <v>4</v>
      </c>
      <c r="D463">
        <v>182</v>
      </c>
      <c r="E463">
        <v>23</v>
      </c>
      <c r="F463">
        <v>1</v>
      </c>
      <c r="G463">
        <v>79.94</v>
      </c>
      <c r="H463">
        <v>0</v>
      </c>
      <c r="I463">
        <v>79.94</v>
      </c>
    </row>
    <row r="464" spans="1:9" x14ac:dyDescent="0.25">
      <c r="A464">
        <v>463</v>
      </c>
      <c r="B464" s="9">
        <v>45882</v>
      </c>
      <c r="C464">
        <v>2</v>
      </c>
      <c r="D464">
        <v>65</v>
      </c>
      <c r="E464">
        <v>83</v>
      </c>
      <c r="F464">
        <v>1</v>
      </c>
      <c r="G464">
        <v>109.16</v>
      </c>
      <c r="H464">
        <v>0</v>
      </c>
      <c r="I464">
        <v>109.16</v>
      </c>
    </row>
    <row r="465" spans="1:9" x14ac:dyDescent="0.25">
      <c r="A465">
        <v>464</v>
      </c>
      <c r="B465" s="9">
        <v>45474</v>
      </c>
      <c r="C465">
        <v>8</v>
      </c>
      <c r="D465">
        <v>103</v>
      </c>
      <c r="E465">
        <v>48</v>
      </c>
      <c r="F465">
        <v>1</v>
      </c>
      <c r="G465">
        <v>146.85</v>
      </c>
      <c r="H465">
        <v>0.1</v>
      </c>
      <c r="I465">
        <v>132.16</v>
      </c>
    </row>
    <row r="466" spans="1:9" x14ac:dyDescent="0.25">
      <c r="A466">
        <v>465</v>
      </c>
      <c r="B466" s="9">
        <v>45434</v>
      </c>
      <c r="C466">
        <v>3</v>
      </c>
      <c r="D466">
        <v>11</v>
      </c>
      <c r="E466">
        <v>99</v>
      </c>
      <c r="F466">
        <v>1</v>
      </c>
      <c r="G466">
        <v>15.44</v>
      </c>
      <c r="H466">
        <v>0</v>
      </c>
      <c r="I466">
        <v>15.44</v>
      </c>
    </row>
    <row r="467" spans="1:9" x14ac:dyDescent="0.25">
      <c r="A467">
        <v>466</v>
      </c>
      <c r="B467" s="9">
        <v>45125</v>
      </c>
      <c r="C467">
        <v>1</v>
      </c>
      <c r="D467">
        <v>155</v>
      </c>
      <c r="E467">
        <v>79</v>
      </c>
      <c r="F467">
        <v>1</v>
      </c>
      <c r="G467">
        <v>117.59</v>
      </c>
      <c r="H467">
        <v>0.05</v>
      </c>
      <c r="I467">
        <v>111.71</v>
      </c>
    </row>
    <row r="468" spans="1:9" x14ac:dyDescent="0.25">
      <c r="A468">
        <v>467</v>
      </c>
      <c r="B468" s="9">
        <v>45521</v>
      </c>
      <c r="C468">
        <v>7</v>
      </c>
      <c r="D468">
        <v>1</v>
      </c>
      <c r="E468">
        <v>85</v>
      </c>
      <c r="F468">
        <v>1</v>
      </c>
      <c r="G468">
        <v>83.36</v>
      </c>
      <c r="H468">
        <v>0</v>
      </c>
      <c r="I468">
        <v>83.36</v>
      </c>
    </row>
    <row r="469" spans="1:9" x14ac:dyDescent="0.25">
      <c r="A469">
        <v>468</v>
      </c>
      <c r="B469" s="9">
        <v>45783</v>
      </c>
      <c r="C469">
        <v>4</v>
      </c>
      <c r="D469">
        <v>182</v>
      </c>
      <c r="E469">
        <v>46</v>
      </c>
      <c r="F469">
        <v>1</v>
      </c>
      <c r="G469">
        <v>157</v>
      </c>
      <c r="H469">
        <v>0</v>
      </c>
      <c r="I469">
        <v>157</v>
      </c>
    </row>
    <row r="470" spans="1:9" x14ac:dyDescent="0.25">
      <c r="A470">
        <v>469</v>
      </c>
      <c r="B470" s="9">
        <v>45254</v>
      </c>
      <c r="C470">
        <v>6</v>
      </c>
      <c r="D470">
        <v>134</v>
      </c>
      <c r="E470">
        <v>63</v>
      </c>
      <c r="F470">
        <v>1</v>
      </c>
      <c r="G470">
        <v>239.9</v>
      </c>
      <c r="H470">
        <v>0</v>
      </c>
      <c r="I470">
        <v>239.9</v>
      </c>
    </row>
    <row r="471" spans="1:9" x14ac:dyDescent="0.25">
      <c r="A471">
        <v>470</v>
      </c>
      <c r="B471" s="9">
        <v>45567</v>
      </c>
      <c r="C471">
        <v>4</v>
      </c>
      <c r="D471">
        <v>20</v>
      </c>
      <c r="E471">
        <v>21</v>
      </c>
      <c r="F471">
        <v>2</v>
      </c>
      <c r="G471">
        <v>187.71</v>
      </c>
      <c r="H471">
        <v>0</v>
      </c>
      <c r="I471">
        <v>375.42</v>
      </c>
    </row>
    <row r="472" spans="1:9" x14ac:dyDescent="0.25">
      <c r="A472">
        <v>471</v>
      </c>
      <c r="B472" s="9">
        <v>45253</v>
      </c>
      <c r="C472">
        <v>8</v>
      </c>
      <c r="D472">
        <v>92</v>
      </c>
      <c r="E472">
        <v>48</v>
      </c>
      <c r="F472">
        <v>1</v>
      </c>
      <c r="G472">
        <v>146.85</v>
      </c>
      <c r="H472">
        <v>0.05</v>
      </c>
      <c r="I472">
        <v>139.51</v>
      </c>
    </row>
    <row r="473" spans="1:9" x14ac:dyDescent="0.25">
      <c r="A473">
        <v>472</v>
      </c>
      <c r="B473" s="9">
        <v>45883</v>
      </c>
      <c r="C473">
        <v>8</v>
      </c>
      <c r="D473">
        <v>25</v>
      </c>
      <c r="E473">
        <v>16</v>
      </c>
      <c r="F473">
        <v>2</v>
      </c>
      <c r="G473">
        <v>62.77</v>
      </c>
      <c r="H473">
        <v>0.05</v>
      </c>
      <c r="I473">
        <v>119.26</v>
      </c>
    </row>
    <row r="474" spans="1:9" x14ac:dyDescent="0.25">
      <c r="A474">
        <v>473</v>
      </c>
      <c r="B474" s="9">
        <v>45558</v>
      </c>
      <c r="C474">
        <v>8</v>
      </c>
      <c r="D474">
        <v>96</v>
      </c>
      <c r="E474">
        <v>65</v>
      </c>
      <c r="F474">
        <v>1</v>
      </c>
      <c r="G474">
        <v>71.14</v>
      </c>
      <c r="H474">
        <v>0</v>
      </c>
      <c r="I474">
        <v>71.14</v>
      </c>
    </row>
    <row r="475" spans="1:9" x14ac:dyDescent="0.25">
      <c r="A475">
        <v>474</v>
      </c>
      <c r="B475" s="9">
        <v>44974</v>
      </c>
      <c r="C475">
        <v>2</v>
      </c>
      <c r="D475">
        <v>157</v>
      </c>
      <c r="E475">
        <v>23</v>
      </c>
      <c r="F475">
        <v>1</v>
      </c>
      <c r="G475">
        <v>79.94</v>
      </c>
      <c r="H475">
        <v>0.15</v>
      </c>
      <c r="I475">
        <v>67.95</v>
      </c>
    </row>
    <row r="476" spans="1:9" x14ac:dyDescent="0.25">
      <c r="A476">
        <v>475</v>
      </c>
      <c r="B476" s="9">
        <v>45732</v>
      </c>
      <c r="C476">
        <v>8</v>
      </c>
      <c r="D476">
        <v>195</v>
      </c>
      <c r="E476">
        <v>45</v>
      </c>
      <c r="F476">
        <v>1</v>
      </c>
      <c r="G476">
        <v>70.989999999999995</v>
      </c>
      <c r="H476">
        <v>0.1</v>
      </c>
      <c r="I476">
        <v>63.89</v>
      </c>
    </row>
    <row r="477" spans="1:9" x14ac:dyDescent="0.25">
      <c r="A477">
        <v>476</v>
      </c>
      <c r="B477" s="9">
        <v>45420</v>
      </c>
      <c r="C477">
        <v>4</v>
      </c>
      <c r="D477">
        <v>208</v>
      </c>
      <c r="E477">
        <v>46</v>
      </c>
      <c r="F477">
        <v>1</v>
      </c>
      <c r="G477">
        <v>157</v>
      </c>
      <c r="H477">
        <v>0</v>
      </c>
      <c r="I477">
        <v>157</v>
      </c>
    </row>
    <row r="478" spans="1:9" x14ac:dyDescent="0.25">
      <c r="A478">
        <v>477</v>
      </c>
      <c r="B478" s="9">
        <v>45649</v>
      </c>
      <c r="C478">
        <v>1</v>
      </c>
      <c r="D478">
        <v>78</v>
      </c>
      <c r="E478">
        <v>30</v>
      </c>
      <c r="F478">
        <v>1</v>
      </c>
      <c r="G478">
        <v>19.399999999999999</v>
      </c>
      <c r="H478">
        <v>0</v>
      </c>
      <c r="I478">
        <v>19.399999999999999</v>
      </c>
    </row>
    <row r="479" spans="1:9" x14ac:dyDescent="0.25">
      <c r="A479">
        <v>478</v>
      </c>
      <c r="B479" s="9">
        <v>45030</v>
      </c>
      <c r="C479">
        <v>5</v>
      </c>
      <c r="D479">
        <v>175</v>
      </c>
      <c r="E479">
        <v>39</v>
      </c>
      <c r="F479">
        <v>1</v>
      </c>
      <c r="G479">
        <v>181.34</v>
      </c>
      <c r="H479">
        <v>0</v>
      </c>
      <c r="I479">
        <v>181.34</v>
      </c>
    </row>
    <row r="480" spans="1:9" x14ac:dyDescent="0.25">
      <c r="A480">
        <v>479</v>
      </c>
      <c r="B480" s="9">
        <v>45940</v>
      </c>
      <c r="C480">
        <v>8</v>
      </c>
      <c r="D480">
        <v>76</v>
      </c>
      <c r="E480">
        <v>60</v>
      </c>
      <c r="F480">
        <v>3</v>
      </c>
      <c r="G480">
        <v>101.29</v>
      </c>
      <c r="H480">
        <v>0.2</v>
      </c>
      <c r="I480">
        <v>243.1</v>
      </c>
    </row>
    <row r="481" spans="1:9" x14ac:dyDescent="0.25">
      <c r="A481">
        <v>480</v>
      </c>
      <c r="B481" s="9">
        <v>45512</v>
      </c>
      <c r="C481">
        <v>1</v>
      </c>
      <c r="D481">
        <v>138</v>
      </c>
      <c r="E481">
        <v>88</v>
      </c>
      <c r="F481">
        <v>1</v>
      </c>
      <c r="G481">
        <v>181.05</v>
      </c>
      <c r="H481">
        <v>0</v>
      </c>
      <c r="I481">
        <v>181.05</v>
      </c>
    </row>
    <row r="482" spans="1:9" x14ac:dyDescent="0.25">
      <c r="A482">
        <v>481</v>
      </c>
      <c r="B482" s="9">
        <v>45147</v>
      </c>
      <c r="C482">
        <v>7</v>
      </c>
      <c r="D482">
        <v>152</v>
      </c>
      <c r="E482">
        <v>27</v>
      </c>
      <c r="F482">
        <v>2</v>
      </c>
      <c r="G482">
        <v>66.790000000000006</v>
      </c>
      <c r="H482">
        <v>0.05</v>
      </c>
      <c r="I482">
        <v>126.9</v>
      </c>
    </row>
    <row r="483" spans="1:9" x14ac:dyDescent="0.25">
      <c r="A483">
        <v>482</v>
      </c>
      <c r="B483" s="9">
        <v>45201</v>
      </c>
      <c r="C483">
        <v>5</v>
      </c>
      <c r="D483">
        <v>97</v>
      </c>
      <c r="E483">
        <v>42</v>
      </c>
      <c r="F483">
        <v>1</v>
      </c>
      <c r="G483">
        <v>127.97</v>
      </c>
      <c r="H483">
        <v>0</v>
      </c>
      <c r="I483">
        <v>127.97</v>
      </c>
    </row>
    <row r="484" spans="1:9" x14ac:dyDescent="0.25">
      <c r="A484">
        <v>483</v>
      </c>
      <c r="B484" s="9">
        <v>45676</v>
      </c>
      <c r="C484">
        <v>7</v>
      </c>
      <c r="D484">
        <v>186</v>
      </c>
      <c r="E484">
        <v>19</v>
      </c>
      <c r="F484">
        <v>1</v>
      </c>
      <c r="G484">
        <v>138.31</v>
      </c>
      <c r="H484">
        <v>0</v>
      </c>
      <c r="I484">
        <v>138.31</v>
      </c>
    </row>
    <row r="485" spans="1:9" x14ac:dyDescent="0.25">
      <c r="A485">
        <v>484</v>
      </c>
      <c r="B485" s="9">
        <v>45676</v>
      </c>
      <c r="C485">
        <v>1</v>
      </c>
      <c r="D485">
        <v>175</v>
      </c>
      <c r="E485">
        <v>80</v>
      </c>
      <c r="F485">
        <v>1</v>
      </c>
      <c r="G485">
        <v>33.380000000000003</v>
      </c>
      <c r="H485">
        <v>0.05</v>
      </c>
      <c r="I485">
        <v>31.71</v>
      </c>
    </row>
    <row r="486" spans="1:9" x14ac:dyDescent="0.25">
      <c r="A486">
        <v>485</v>
      </c>
      <c r="B486" s="9">
        <v>45747</v>
      </c>
      <c r="C486">
        <v>1</v>
      </c>
      <c r="D486">
        <v>172</v>
      </c>
      <c r="E486">
        <v>21</v>
      </c>
      <c r="F486">
        <v>1</v>
      </c>
      <c r="G486">
        <v>187.71</v>
      </c>
      <c r="H486">
        <v>0</v>
      </c>
      <c r="I486">
        <v>187.71</v>
      </c>
    </row>
    <row r="487" spans="1:9" x14ac:dyDescent="0.25">
      <c r="A487">
        <v>486</v>
      </c>
      <c r="B487" s="9">
        <v>45325</v>
      </c>
      <c r="C487">
        <v>6</v>
      </c>
      <c r="D487">
        <v>83</v>
      </c>
      <c r="E487">
        <v>39</v>
      </c>
      <c r="F487">
        <v>1</v>
      </c>
      <c r="G487">
        <v>181.34</v>
      </c>
      <c r="H487">
        <v>0.15</v>
      </c>
      <c r="I487">
        <v>154.13999999999999</v>
      </c>
    </row>
    <row r="488" spans="1:9" x14ac:dyDescent="0.25">
      <c r="A488">
        <v>487</v>
      </c>
      <c r="B488" s="9">
        <v>45518</v>
      </c>
      <c r="C488">
        <v>2</v>
      </c>
      <c r="D488">
        <v>35</v>
      </c>
      <c r="E488">
        <v>57</v>
      </c>
      <c r="F488">
        <v>1</v>
      </c>
      <c r="G488">
        <v>32.28</v>
      </c>
      <c r="H488">
        <v>0</v>
      </c>
      <c r="I488">
        <v>32.28</v>
      </c>
    </row>
    <row r="489" spans="1:9" x14ac:dyDescent="0.25">
      <c r="A489">
        <v>488</v>
      </c>
      <c r="B489" s="9">
        <v>45718</v>
      </c>
      <c r="C489">
        <v>8</v>
      </c>
      <c r="D489">
        <v>188</v>
      </c>
      <c r="E489">
        <v>35</v>
      </c>
      <c r="F489">
        <v>1</v>
      </c>
      <c r="G489">
        <v>303.48</v>
      </c>
      <c r="H489">
        <v>0</v>
      </c>
      <c r="I489">
        <v>303.48</v>
      </c>
    </row>
    <row r="490" spans="1:9" x14ac:dyDescent="0.25">
      <c r="A490">
        <v>489</v>
      </c>
      <c r="B490" s="9">
        <v>45499</v>
      </c>
      <c r="C490">
        <v>2</v>
      </c>
      <c r="D490">
        <v>133</v>
      </c>
      <c r="E490">
        <v>17</v>
      </c>
      <c r="F490">
        <v>1</v>
      </c>
      <c r="G490">
        <v>97.14</v>
      </c>
      <c r="H490">
        <v>0</v>
      </c>
      <c r="I490">
        <v>97.14</v>
      </c>
    </row>
    <row r="491" spans="1:9" x14ac:dyDescent="0.25">
      <c r="A491">
        <v>490</v>
      </c>
      <c r="B491" s="9">
        <v>45190</v>
      </c>
      <c r="C491">
        <v>2</v>
      </c>
      <c r="D491">
        <v>26</v>
      </c>
      <c r="E491">
        <v>61</v>
      </c>
      <c r="F491">
        <v>1</v>
      </c>
      <c r="G491">
        <v>106.64</v>
      </c>
      <c r="H491">
        <v>0</v>
      </c>
      <c r="I491">
        <v>106.64</v>
      </c>
    </row>
    <row r="492" spans="1:9" x14ac:dyDescent="0.25">
      <c r="A492">
        <v>491</v>
      </c>
      <c r="B492" s="9">
        <v>45733</v>
      </c>
      <c r="C492">
        <v>6</v>
      </c>
      <c r="D492">
        <v>5</v>
      </c>
      <c r="E492">
        <v>42</v>
      </c>
      <c r="F492">
        <v>2</v>
      </c>
      <c r="G492">
        <v>127.97</v>
      </c>
      <c r="H492">
        <v>0</v>
      </c>
      <c r="I492">
        <v>255.94</v>
      </c>
    </row>
    <row r="493" spans="1:9" x14ac:dyDescent="0.25">
      <c r="A493">
        <v>492</v>
      </c>
      <c r="B493" s="9">
        <v>45621</v>
      </c>
      <c r="C493">
        <v>6</v>
      </c>
      <c r="D493">
        <v>104</v>
      </c>
      <c r="E493">
        <v>4</v>
      </c>
      <c r="F493">
        <v>2</v>
      </c>
      <c r="G493">
        <v>168</v>
      </c>
      <c r="H493">
        <v>0</v>
      </c>
      <c r="I493">
        <v>336</v>
      </c>
    </row>
    <row r="494" spans="1:9" x14ac:dyDescent="0.25">
      <c r="A494">
        <v>493</v>
      </c>
      <c r="B494" s="9">
        <v>45222</v>
      </c>
      <c r="C494">
        <v>4</v>
      </c>
      <c r="D494">
        <v>167</v>
      </c>
      <c r="E494">
        <v>94</v>
      </c>
      <c r="F494">
        <v>1</v>
      </c>
      <c r="G494">
        <v>163.66</v>
      </c>
      <c r="H494">
        <v>0</v>
      </c>
      <c r="I494">
        <v>163.66</v>
      </c>
    </row>
    <row r="495" spans="1:9" x14ac:dyDescent="0.25">
      <c r="A495">
        <v>494</v>
      </c>
      <c r="B495" s="9">
        <v>45969</v>
      </c>
      <c r="C495">
        <v>7</v>
      </c>
      <c r="D495">
        <v>134</v>
      </c>
      <c r="E495">
        <v>55</v>
      </c>
      <c r="F495">
        <v>1</v>
      </c>
      <c r="G495">
        <v>193.33</v>
      </c>
      <c r="H495">
        <v>0</v>
      </c>
      <c r="I495">
        <v>193.33</v>
      </c>
    </row>
    <row r="496" spans="1:9" x14ac:dyDescent="0.25">
      <c r="A496">
        <v>495</v>
      </c>
      <c r="B496" s="9">
        <v>45951</v>
      </c>
      <c r="C496">
        <v>1</v>
      </c>
      <c r="D496">
        <v>188</v>
      </c>
      <c r="E496">
        <v>83</v>
      </c>
      <c r="F496">
        <v>1</v>
      </c>
      <c r="G496">
        <v>109.16</v>
      </c>
      <c r="H496">
        <v>0.05</v>
      </c>
      <c r="I496">
        <v>103.7</v>
      </c>
    </row>
    <row r="497" spans="1:9" x14ac:dyDescent="0.25">
      <c r="A497">
        <v>496</v>
      </c>
      <c r="B497" s="9">
        <v>45019</v>
      </c>
      <c r="C497">
        <v>1</v>
      </c>
      <c r="D497">
        <v>23</v>
      </c>
      <c r="E497">
        <v>34</v>
      </c>
      <c r="F497">
        <v>3</v>
      </c>
      <c r="G497">
        <v>247.04</v>
      </c>
      <c r="H497">
        <v>0</v>
      </c>
      <c r="I497">
        <v>741.12</v>
      </c>
    </row>
    <row r="498" spans="1:9" x14ac:dyDescent="0.25">
      <c r="A498">
        <v>497</v>
      </c>
      <c r="B498" s="9">
        <v>45207</v>
      </c>
      <c r="C498">
        <v>6</v>
      </c>
      <c r="D498">
        <v>135</v>
      </c>
      <c r="E498">
        <v>68</v>
      </c>
      <c r="F498">
        <v>1</v>
      </c>
      <c r="G498">
        <v>198.56</v>
      </c>
      <c r="H498">
        <v>0.05</v>
      </c>
      <c r="I498">
        <v>188.63</v>
      </c>
    </row>
    <row r="499" spans="1:9" x14ac:dyDescent="0.25">
      <c r="A499">
        <v>498</v>
      </c>
      <c r="B499" s="9">
        <v>45897</v>
      </c>
      <c r="C499">
        <v>8</v>
      </c>
      <c r="D499">
        <v>68</v>
      </c>
      <c r="E499">
        <v>26</v>
      </c>
      <c r="F499">
        <v>1</v>
      </c>
      <c r="G499">
        <v>211.87</v>
      </c>
      <c r="H499">
        <v>0.1</v>
      </c>
      <c r="I499">
        <v>190.68</v>
      </c>
    </row>
    <row r="500" spans="1:9" x14ac:dyDescent="0.25">
      <c r="A500">
        <v>499</v>
      </c>
      <c r="B500" s="9">
        <v>45232</v>
      </c>
      <c r="C500">
        <v>3</v>
      </c>
      <c r="D500">
        <v>10</v>
      </c>
      <c r="E500">
        <v>4</v>
      </c>
      <c r="F500">
        <v>1</v>
      </c>
      <c r="G500">
        <v>168</v>
      </c>
      <c r="H500">
        <v>0</v>
      </c>
      <c r="I500">
        <v>168</v>
      </c>
    </row>
    <row r="501" spans="1:9" x14ac:dyDescent="0.25">
      <c r="A501">
        <v>500</v>
      </c>
      <c r="B501" s="9">
        <v>45598</v>
      </c>
      <c r="C501">
        <v>6</v>
      </c>
      <c r="D501">
        <v>128</v>
      </c>
      <c r="E501">
        <v>68</v>
      </c>
      <c r="F501">
        <v>1</v>
      </c>
      <c r="G501">
        <v>198.56</v>
      </c>
      <c r="H501">
        <v>0.05</v>
      </c>
      <c r="I501">
        <v>188.63</v>
      </c>
    </row>
    <row r="502" spans="1:9" x14ac:dyDescent="0.25">
      <c r="A502">
        <v>501</v>
      </c>
      <c r="B502" s="9">
        <v>45259</v>
      </c>
      <c r="C502">
        <v>7</v>
      </c>
      <c r="D502">
        <v>78</v>
      </c>
      <c r="E502">
        <v>15</v>
      </c>
      <c r="F502">
        <v>1</v>
      </c>
      <c r="G502">
        <v>58.26</v>
      </c>
      <c r="H502">
        <v>0</v>
      </c>
      <c r="I502">
        <v>58.26</v>
      </c>
    </row>
    <row r="503" spans="1:9" x14ac:dyDescent="0.25">
      <c r="A503">
        <v>502</v>
      </c>
      <c r="B503" s="9">
        <v>45539</v>
      </c>
      <c r="C503">
        <v>6</v>
      </c>
      <c r="D503">
        <v>15</v>
      </c>
      <c r="E503">
        <v>26</v>
      </c>
      <c r="F503">
        <v>1</v>
      </c>
      <c r="G503">
        <v>211.87</v>
      </c>
      <c r="H503">
        <v>0.2</v>
      </c>
      <c r="I503">
        <v>169.5</v>
      </c>
    </row>
    <row r="504" spans="1:9" x14ac:dyDescent="0.25">
      <c r="A504">
        <v>503</v>
      </c>
      <c r="B504" s="9">
        <v>45965</v>
      </c>
      <c r="C504">
        <v>8</v>
      </c>
      <c r="D504">
        <v>71</v>
      </c>
      <c r="E504">
        <v>89</v>
      </c>
      <c r="F504">
        <v>1</v>
      </c>
      <c r="G504">
        <v>247.43</v>
      </c>
      <c r="H504">
        <v>0</v>
      </c>
      <c r="I504">
        <v>247.43</v>
      </c>
    </row>
    <row r="505" spans="1:9" x14ac:dyDescent="0.25">
      <c r="A505">
        <v>504</v>
      </c>
      <c r="B505" s="9">
        <v>45540</v>
      </c>
      <c r="C505">
        <v>8</v>
      </c>
      <c r="D505">
        <v>195</v>
      </c>
      <c r="E505">
        <v>6</v>
      </c>
      <c r="F505">
        <v>1</v>
      </c>
      <c r="G505">
        <v>44.63</v>
      </c>
      <c r="H505">
        <v>0</v>
      </c>
      <c r="I505">
        <v>44.63</v>
      </c>
    </row>
    <row r="506" spans="1:9" x14ac:dyDescent="0.25">
      <c r="A506">
        <v>505</v>
      </c>
      <c r="B506" s="9">
        <v>44961</v>
      </c>
      <c r="C506">
        <v>6</v>
      </c>
      <c r="D506">
        <v>112</v>
      </c>
      <c r="E506">
        <v>15</v>
      </c>
      <c r="F506">
        <v>1</v>
      </c>
      <c r="G506">
        <v>58.26</v>
      </c>
      <c r="H506">
        <v>0</v>
      </c>
      <c r="I506">
        <v>58.26</v>
      </c>
    </row>
    <row r="507" spans="1:9" x14ac:dyDescent="0.25">
      <c r="A507">
        <v>506</v>
      </c>
      <c r="B507" s="9">
        <v>45605</v>
      </c>
      <c r="C507">
        <v>2</v>
      </c>
      <c r="D507">
        <v>23</v>
      </c>
      <c r="E507">
        <v>22</v>
      </c>
      <c r="F507">
        <v>2</v>
      </c>
      <c r="G507">
        <v>49.91</v>
      </c>
      <c r="H507">
        <v>0</v>
      </c>
      <c r="I507">
        <v>99.82</v>
      </c>
    </row>
    <row r="508" spans="1:9" x14ac:dyDescent="0.25">
      <c r="A508">
        <v>507</v>
      </c>
      <c r="B508" s="9">
        <v>45780</v>
      </c>
      <c r="C508">
        <v>5</v>
      </c>
      <c r="D508">
        <v>12</v>
      </c>
      <c r="E508">
        <v>20</v>
      </c>
      <c r="F508">
        <v>1</v>
      </c>
      <c r="G508">
        <v>85.89</v>
      </c>
      <c r="H508">
        <v>0.05</v>
      </c>
      <c r="I508">
        <v>81.599999999999994</v>
      </c>
    </row>
    <row r="509" spans="1:9" x14ac:dyDescent="0.25">
      <c r="A509">
        <v>508</v>
      </c>
      <c r="B509" s="9">
        <v>44981</v>
      </c>
      <c r="C509">
        <v>8</v>
      </c>
      <c r="D509">
        <v>105</v>
      </c>
      <c r="E509">
        <v>16</v>
      </c>
      <c r="F509">
        <v>1</v>
      </c>
      <c r="G509">
        <v>62.77</v>
      </c>
      <c r="H509">
        <v>0.1</v>
      </c>
      <c r="I509">
        <v>56.49</v>
      </c>
    </row>
    <row r="510" spans="1:9" x14ac:dyDescent="0.25">
      <c r="A510">
        <v>509</v>
      </c>
      <c r="B510" s="9">
        <v>45470</v>
      </c>
      <c r="C510">
        <v>4</v>
      </c>
      <c r="D510">
        <v>79</v>
      </c>
      <c r="E510">
        <v>72</v>
      </c>
      <c r="F510">
        <v>1</v>
      </c>
      <c r="G510">
        <v>50.75</v>
      </c>
      <c r="H510">
        <v>0.15</v>
      </c>
      <c r="I510">
        <v>43.14</v>
      </c>
    </row>
    <row r="511" spans="1:9" x14ac:dyDescent="0.25">
      <c r="A511">
        <v>510</v>
      </c>
      <c r="B511" s="9">
        <v>45032</v>
      </c>
      <c r="C511">
        <v>8</v>
      </c>
      <c r="D511">
        <v>61</v>
      </c>
      <c r="E511">
        <v>4</v>
      </c>
      <c r="F511">
        <v>1</v>
      </c>
      <c r="G511">
        <v>168</v>
      </c>
      <c r="H511">
        <v>0.05</v>
      </c>
      <c r="I511">
        <v>159.6</v>
      </c>
    </row>
    <row r="512" spans="1:9" x14ac:dyDescent="0.25">
      <c r="A512">
        <v>511</v>
      </c>
      <c r="B512" s="9">
        <v>45276</v>
      </c>
      <c r="C512">
        <v>7</v>
      </c>
      <c r="D512">
        <v>9</v>
      </c>
      <c r="E512">
        <v>84</v>
      </c>
      <c r="F512">
        <v>2</v>
      </c>
      <c r="G512">
        <v>26.78</v>
      </c>
      <c r="H512">
        <v>0.15</v>
      </c>
      <c r="I512">
        <v>45.53</v>
      </c>
    </row>
    <row r="513" spans="1:9" x14ac:dyDescent="0.25">
      <c r="A513">
        <v>512</v>
      </c>
      <c r="B513" s="9">
        <v>45229</v>
      </c>
      <c r="C513">
        <v>4</v>
      </c>
      <c r="D513">
        <v>187</v>
      </c>
      <c r="E513">
        <v>75</v>
      </c>
      <c r="F513">
        <v>1</v>
      </c>
      <c r="G513">
        <v>205.69</v>
      </c>
      <c r="H513">
        <v>0</v>
      </c>
      <c r="I513">
        <v>205.69</v>
      </c>
    </row>
    <row r="514" spans="1:9" x14ac:dyDescent="0.25">
      <c r="A514">
        <v>513</v>
      </c>
      <c r="B514" s="9">
        <v>44991</v>
      </c>
      <c r="C514">
        <v>2</v>
      </c>
      <c r="D514">
        <v>144</v>
      </c>
      <c r="E514">
        <v>89</v>
      </c>
      <c r="F514">
        <v>2</v>
      </c>
      <c r="G514">
        <v>247.43</v>
      </c>
      <c r="H514">
        <v>0</v>
      </c>
      <c r="I514">
        <v>494.86</v>
      </c>
    </row>
    <row r="515" spans="1:9" x14ac:dyDescent="0.25">
      <c r="A515">
        <v>514</v>
      </c>
      <c r="B515" s="9">
        <v>45317</v>
      </c>
      <c r="C515">
        <v>1</v>
      </c>
      <c r="D515">
        <v>100</v>
      </c>
      <c r="E515">
        <v>51</v>
      </c>
      <c r="F515">
        <v>1</v>
      </c>
      <c r="G515">
        <v>302.75</v>
      </c>
      <c r="H515">
        <v>0</v>
      </c>
      <c r="I515">
        <v>302.75</v>
      </c>
    </row>
    <row r="516" spans="1:9" x14ac:dyDescent="0.25">
      <c r="A516">
        <v>515</v>
      </c>
      <c r="B516" s="9">
        <v>45830</v>
      </c>
      <c r="C516">
        <v>6</v>
      </c>
      <c r="D516">
        <v>71</v>
      </c>
      <c r="E516">
        <v>48</v>
      </c>
      <c r="F516">
        <v>1</v>
      </c>
      <c r="G516">
        <v>146.85</v>
      </c>
      <c r="H516">
        <v>0</v>
      </c>
      <c r="I516">
        <v>146.85</v>
      </c>
    </row>
    <row r="517" spans="1:9" x14ac:dyDescent="0.25">
      <c r="A517">
        <v>516</v>
      </c>
      <c r="B517" s="9">
        <v>45784</v>
      </c>
      <c r="C517">
        <v>3</v>
      </c>
      <c r="D517">
        <v>23</v>
      </c>
      <c r="E517">
        <v>10</v>
      </c>
      <c r="F517">
        <v>1</v>
      </c>
      <c r="G517">
        <v>168.82</v>
      </c>
      <c r="H517">
        <v>0</v>
      </c>
      <c r="I517">
        <v>168.82</v>
      </c>
    </row>
    <row r="518" spans="1:9" x14ac:dyDescent="0.25">
      <c r="A518">
        <v>517</v>
      </c>
      <c r="B518" s="9">
        <v>45772</v>
      </c>
      <c r="C518">
        <v>4</v>
      </c>
      <c r="D518">
        <v>100</v>
      </c>
      <c r="E518">
        <v>18</v>
      </c>
      <c r="F518">
        <v>1</v>
      </c>
      <c r="G518">
        <v>132.02000000000001</v>
      </c>
      <c r="H518">
        <v>0</v>
      </c>
      <c r="I518">
        <v>132.02000000000001</v>
      </c>
    </row>
    <row r="519" spans="1:9" x14ac:dyDescent="0.25">
      <c r="A519">
        <v>518</v>
      </c>
      <c r="B519" s="9">
        <v>45767</v>
      </c>
      <c r="C519">
        <v>8</v>
      </c>
      <c r="D519">
        <v>178</v>
      </c>
      <c r="E519">
        <v>60</v>
      </c>
      <c r="F519">
        <v>1</v>
      </c>
      <c r="G519">
        <v>101.29</v>
      </c>
      <c r="H519">
        <v>0</v>
      </c>
      <c r="I519">
        <v>101.29</v>
      </c>
    </row>
    <row r="520" spans="1:9" x14ac:dyDescent="0.25">
      <c r="A520">
        <v>519</v>
      </c>
      <c r="B520" s="9">
        <v>45054</v>
      </c>
      <c r="C520">
        <v>3</v>
      </c>
      <c r="D520">
        <v>164</v>
      </c>
      <c r="E520">
        <v>96</v>
      </c>
      <c r="F520">
        <v>3</v>
      </c>
      <c r="G520">
        <v>132.69</v>
      </c>
      <c r="H520">
        <v>0.05</v>
      </c>
      <c r="I520">
        <v>378.17</v>
      </c>
    </row>
    <row r="521" spans="1:9" x14ac:dyDescent="0.25">
      <c r="A521">
        <v>520</v>
      </c>
      <c r="B521" s="9">
        <v>45351</v>
      </c>
      <c r="C521">
        <v>6</v>
      </c>
      <c r="D521">
        <v>42</v>
      </c>
      <c r="E521">
        <v>87</v>
      </c>
      <c r="F521">
        <v>2</v>
      </c>
      <c r="G521">
        <v>223.85</v>
      </c>
      <c r="H521">
        <v>0.05</v>
      </c>
      <c r="I521">
        <v>425.31</v>
      </c>
    </row>
    <row r="522" spans="1:9" x14ac:dyDescent="0.25">
      <c r="A522">
        <v>521</v>
      </c>
      <c r="B522" s="9">
        <v>45906</v>
      </c>
      <c r="C522">
        <v>7</v>
      </c>
      <c r="D522">
        <v>160</v>
      </c>
      <c r="E522">
        <v>39</v>
      </c>
      <c r="F522">
        <v>2</v>
      </c>
      <c r="G522">
        <v>181.34</v>
      </c>
      <c r="H522">
        <v>0.05</v>
      </c>
      <c r="I522">
        <v>344.55</v>
      </c>
    </row>
    <row r="523" spans="1:9" x14ac:dyDescent="0.25">
      <c r="A523">
        <v>522</v>
      </c>
      <c r="B523" s="9">
        <v>45569</v>
      </c>
      <c r="C523">
        <v>3</v>
      </c>
      <c r="D523">
        <v>157</v>
      </c>
      <c r="E523">
        <v>9</v>
      </c>
      <c r="F523">
        <v>1</v>
      </c>
      <c r="G523">
        <v>152.78</v>
      </c>
      <c r="H523">
        <v>0.2</v>
      </c>
      <c r="I523">
        <v>122.22</v>
      </c>
    </row>
    <row r="524" spans="1:9" x14ac:dyDescent="0.25">
      <c r="A524">
        <v>523</v>
      </c>
      <c r="B524" s="9">
        <v>45868</v>
      </c>
      <c r="C524">
        <v>6</v>
      </c>
      <c r="D524">
        <v>8</v>
      </c>
      <c r="E524">
        <v>51</v>
      </c>
      <c r="F524">
        <v>1</v>
      </c>
      <c r="G524">
        <v>302.75</v>
      </c>
      <c r="H524">
        <v>0</v>
      </c>
      <c r="I524">
        <v>302.75</v>
      </c>
    </row>
    <row r="525" spans="1:9" x14ac:dyDescent="0.25">
      <c r="A525">
        <v>524</v>
      </c>
      <c r="B525" s="9">
        <v>45652</v>
      </c>
      <c r="C525">
        <v>5</v>
      </c>
      <c r="D525">
        <v>36</v>
      </c>
      <c r="E525">
        <v>63</v>
      </c>
      <c r="F525">
        <v>1</v>
      </c>
      <c r="G525">
        <v>239.9</v>
      </c>
      <c r="H525">
        <v>0.1</v>
      </c>
      <c r="I525">
        <v>215.91</v>
      </c>
    </row>
    <row r="526" spans="1:9" x14ac:dyDescent="0.25">
      <c r="A526">
        <v>525</v>
      </c>
      <c r="B526" s="9">
        <v>45918</v>
      </c>
      <c r="C526">
        <v>4</v>
      </c>
      <c r="D526">
        <v>210</v>
      </c>
      <c r="E526">
        <v>82</v>
      </c>
      <c r="F526">
        <v>1</v>
      </c>
      <c r="G526">
        <v>151.85</v>
      </c>
      <c r="H526">
        <v>0.1</v>
      </c>
      <c r="I526">
        <v>136.66</v>
      </c>
    </row>
    <row r="527" spans="1:9" x14ac:dyDescent="0.25">
      <c r="A527">
        <v>526</v>
      </c>
      <c r="B527" s="9">
        <v>45431</v>
      </c>
      <c r="C527">
        <v>5</v>
      </c>
      <c r="D527">
        <v>80</v>
      </c>
      <c r="E527">
        <v>12</v>
      </c>
      <c r="F527">
        <v>1</v>
      </c>
      <c r="G527">
        <v>236.84</v>
      </c>
      <c r="H527">
        <v>0.05</v>
      </c>
      <c r="I527">
        <v>225</v>
      </c>
    </row>
    <row r="528" spans="1:9" x14ac:dyDescent="0.25">
      <c r="A528">
        <v>527</v>
      </c>
      <c r="B528" s="9">
        <v>45538</v>
      </c>
      <c r="C528">
        <v>4</v>
      </c>
      <c r="D528">
        <v>102</v>
      </c>
      <c r="E528">
        <v>65</v>
      </c>
      <c r="F528">
        <v>1</v>
      </c>
      <c r="G528">
        <v>71.14</v>
      </c>
      <c r="H528">
        <v>0.05</v>
      </c>
      <c r="I528">
        <v>67.58</v>
      </c>
    </row>
    <row r="529" spans="1:9" x14ac:dyDescent="0.25">
      <c r="A529">
        <v>528</v>
      </c>
      <c r="B529" s="9">
        <v>45536</v>
      </c>
      <c r="C529">
        <v>5</v>
      </c>
      <c r="D529">
        <v>70</v>
      </c>
      <c r="E529">
        <v>72</v>
      </c>
      <c r="F529">
        <v>1</v>
      </c>
      <c r="G529">
        <v>50.75</v>
      </c>
      <c r="H529">
        <v>0</v>
      </c>
      <c r="I529">
        <v>50.75</v>
      </c>
    </row>
    <row r="530" spans="1:9" x14ac:dyDescent="0.25">
      <c r="A530">
        <v>529</v>
      </c>
      <c r="B530" s="9">
        <v>45351</v>
      </c>
      <c r="C530">
        <v>8</v>
      </c>
      <c r="D530">
        <v>197</v>
      </c>
      <c r="E530">
        <v>69</v>
      </c>
      <c r="F530">
        <v>2</v>
      </c>
      <c r="G530">
        <v>22.86</v>
      </c>
      <c r="H530">
        <v>0</v>
      </c>
      <c r="I530">
        <v>45.72</v>
      </c>
    </row>
    <row r="531" spans="1:9" x14ac:dyDescent="0.25">
      <c r="A531">
        <v>530</v>
      </c>
      <c r="B531" s="9">
        <v>45576</v>
      </c>
      <c r="C531">
        <v>8</v>
      </c>
      <c r="D531">
        <v>56</v>
      </c>
      <c r="E531">
        <v>42</v>
      </c>
      <c r="F531">
        <v>1</v>
      </c>
      <c r="G531">
        <v>127.97</v>
      </c>
      <c r="H531">
        <v>0.05</v>
      </c>
      <c r="I531">
        <v>121.57</v>
      </c>
    </row>
    <row r="532" spans="1:9" x14ac:dyDescent="0.25">
      <c r="A532">
        <v>531</v>
      </c>
      <c r="B532" s="9">
        <v>45641</v>
      </c>
      <c r="C532">
        <v>5</v>
      </c>
      <c r="D532">
        <v>60</v>
      </c>
      <c r="E532">
        <v>97</v>
      </c>
      <c r="F532">
        <v>1</v>
      </c>
      <c r="G532">
        <v>158.26</v>
      </c>
      <c r="H532">
        <v>0.1</v>
      </c>
      <c r="I532">
        <v>142.43</v>
      </c>
    </row>
    <row r="533" spans="1:9" x14ac:dyDescent="0.25">
      <c r="A533">
        <v>532</v>
      </c>
      <c r="B533" s="9">
        <v>45516</v>
      </c>
      <c r="C533">
        <v>2</v>
      </c>
      <c r="D533">
        <v>163</v>
      </c>
      <c r="E533">
        <v>63</v>
      </c>
      <c r="F533">
        <v>2</v>
      </c>
      <c r="G533">
        <v>239.9</v>
      </c>
      <c r="H533">
        <v>0</v>
      </c>
      <c r="I533">
        <v>479.8</v>
      </c>
    </row>
    <row r="534" spans="1:9" x14ac:dyDescent="0.25">
      <c r="A534">
        <v>533</v>
      </c>
      <c r="B534" s="9">
        <v>45704</v>
      </c>
      <c r="C534">
        <v>7</v>
      </c>
      <c r="D534">
        <v>147</v>
      </c>
      <c r="E534">
        <v>50</v>
      </c>
      <c r="F534">
        <v>1</v>
      </c>
      <c r="G534">
        <v>52.54</v>
      </c>
      <c r="H534">
        <v>0</v>
      </c>
      <c r="I534">
        <v>52.54</v>
      </c>
    </row>
    <row r="535" spans="1:9" x14ac:dyDescent="0.25">
      <c r="A535">
        <v>534</v>
      </c>
      <c r="B535" s="9">
        <v>45633</v>
      </c>
      <c r="C535">
        <v>3</v>
      </c>
      <c r="D535">
        <v>95</v>
      </c>
      <c r="E535">
        <v>68</v>
      </c>
      <c r="F535">
        <v>1</v>
      </c>
      <c r="G535">
        <v>198.56</v>
      </c>
      <c r="H535">
        <v>0</v>
      </c>
      <c r="I535">
        <v>198.56</v>
      </c>
    </row>
    <row r="536" spans="1:9" x14ac:dyDescent="0.25">
      <c r="A536">
        <v>535</v>
      </c>
      <c r="B536" s="9">
        <v>45521</v>
      </c>
      <c r="C536">
        <v>1</v>
      </c>
      <c r="D536">
        <v>89</v>
      </c>
      <c r="E536">
        <v>61</v>
      </c>
      <c r="F536">
        <v>1</v>
      </c>
      <c r="G536">
        <v>106.64</v>
      </c>
      <c r="H536">
        <v>0</v>
      </c>
      <c r="I536">
        <v>106.64</v>
      </c>
    </row>
    <row r="537" spans="1:9" x14ac:dyDescent="0.25">
      <c r="A537">
        <v>536</v>
      </c>
      <c r="B537" s="9">
        <v>45516</v>
      </c>
      <c r="C537">
        <v>2</v>
      </c>
      <c r="D537">
        <v>114</v>
      </c>
      <c r="E537">
        <v>35</v>
      </c>
      <c r="F537">
        <v>1</v>
      </c>
      <c r="G537">
        <v>303.48</v>
      </c>
      <c r="H537">
        <v>0.1</v>
      </c>
      <c r="I537">
        <v>273.13</v>
      </c>
    </row>
    <row r="538" spans="1:9" x14ac:dyDescent="0.25">
      <c r="A538">
        <v>537</v>
      </c>
      <c r="B538" s="9">
        <v>45636</v>
      </c>
      <c r="C538">
        <v>8</v>
      </c>
      <c r="D538">
        <v>27</v>
      </c>
      <c r="E538">
        <v>19</v>
      </c>
      <c r="F538">
        <v>1</v>
      </c>
      <c r="G538">
        <v>138.31</v>
      </c>
      <c r="H538">
        <v>0.05</v>
      </c>
      <c r="I538">
        <v>131.38999999999999</v>
      </c>
    </row>
    <row r="539" spans="1:9" x14ac:dyDescent="0.25">
      <c r="A539">
        <v>538</v>
      </c>
      <c r="B539" s="9">
        <v>45452</v>
      </c>
      <c r="C539">
        <v>8</v>
      </c>
      <c r="D539">
        <v>31</v>
      </c>
      <c r="E539">
        <v>19</v>
      </c>
      <c r="F539">
        <v>1</v>
      </c>
      <c r="G539">
        <v>138.31</v>
      </c>
      <c r="H539">
        <v>0.1</v>
      </c>
      <c r="I539">
        <v>124.48</v>
      </c>
    </row>
    <row r="540" spans="1:9" x14ac:dyDescent="0.25">
      <c r="A540">
        <v>539</v>
      </c>
      <c r="B540" s="9">
        <v>45365</v>
      </c>
      <c r="C540">
        <v>4</v>
      </c>
      <c r="D540">
        <v>61</v>
      </c>
      <c r="E540">
        <v>29</v>
      </c>
      <c r="F540">
        <v>2</v>
      </c>
      <c r="G540">
        <v>138.6</v>
      </c>
      <c r="H540">
        <v>0</v>
      </c>
      <c r="I540">
        <v>277.2</v>
      </c>
    </row>
    <row r="541" spans="1:9" x14ac:dyDescent="0.25">
      <c r="A541">
        <v>540</v>
      </c>
      <c r="B541" s="9">
        <v>45482</v>
      </c>
      <c r="C541">
        <v>5</v>
      </c>
      <c r="D541">
        <v>181</v>
      </c>
      <c r="E541">
        <v>58</v>
      </c>
      <c r="F541">
        <v>1</v>
      </c>
      <c r="G541">
        <v>64.400000000000006</v>
      </c>
      <c r="H541">
        <v>0</v>
      </c>
      <c r="I541">
        <v>64.400000000000006</v>
      </c>
    </row>
    <row r="542" spans="1:9" x14ac:dyDescent="0.25">
      <c r="A542">
        <v>541</v>
      </c>
      <c r="B542" s="9">
        <v>45208</v>
      </c>
      <c r="C542">
        <v>2</v>
      </c>
      <c r="D542">
        <v>49</v>
      </c>
      <c r="E542">
        <v>29</v>
      </c>
      <c r="F542">
        <v>2</v>
      </c>
      <c r="G542">
        <v>138.6</v>
      </c>
      <c r="H542">
        <v>0</v>
      </c>
      <c r="I542">
        <v>277.2</v>
      </c>
    </row>
    <row r="543" spans="1:9" x14ac:dyDescent="0.25">
      <c r="A543">
        <v>542</v>
      </c>
      <c r="B543" s="9">
        <v>45417</v>
      </c>
      <c r="C543">
        <v>4</v>
      </c>
      <c r="D543">
        <v>146</v>
      </c>
      <c r="E543">
        <v>65</v>
      </c>
      <c r="F543">
        <v>2</v>
      </c>
      <c r="G543">
        <v>71.14</v>
      </c>
      <c r="H543">
        <v>0</v>
      </c>
      <c r="I543">
        <v>142.28</v>
      </c>
    </row>
    <row r="544" spans="1:9" x14ac:dyDescent="0.25">
      <c r="A544">
        <v>543</v>
      </c>
      <c r="B544" s="9">
        <v>45030</v>
      </c>
      <c r="C544">
        <v>4</v>
      </c>
      <c r="D544">
        <v>63</v>
      </c>
      <c r="E544">
        <v>91</v>
      </c>
      <c r="F544">
        <v>1</v>
      </c>
      <c r="G544">
        <v>33.700000000000003</v>
      </c>
      <c r="H544">
        <v>0.15</v>
      </c>
      <c r="I544">
        <v>28.65</v>
      </c>
    </row>
    <row r="545" spans="1:9" x14ac:dyDescent="0.25">
      <c r="A545">
        <v>544</v>
      </c>
      <c r="B545" s="9">
        <v>45403</v>
      </c>
      <c r="C545">
        <v>1</v>
      </c>
      <c r="D545">
        <v>200</v>
      </c>
      <c r="E545">
        <v>73</v>
      </c>
      <c r="F545">
        <v>1</v>
      </c>
      <c r="G545">
        <v>8.39</v>
      </c>
      <c r="H545">
        <v>0</v>
      </c>
      <c r="I545">
        <v>8.39</v>
      </c>
    </row>
    <row r="546" spans="1:9" x14ac:dyDescent="0.25">
      <c r="A546">
        <v>545</v>
      </c>
      <c r="B546" s="9">
        <v>45132</v>
      </c>
      <c r="C546">
        <v>7</v>
      </c>
      <c r="D546">
        <v>21</v>
      </c>
      <c r="E546">
        <v>92</v>
      </c>
      <c r="F546">
        <v>1</v>
      </c>
      <c r="G546">
        <v>223.32</v>
      </c>
      <c r="H546">
        <v>0</v>
      </c>
      <c r="I546">
        <v>223.32</v>
      </c>
    </row>
    <row r="547" spans="1:9" x14ac:dyDescent="0.25">
      <c r="A547">
        <v>546</v>
      </c>
      <c r="B547" s="9">
        <v>45603</v>
      </c>
      <c r="C547">
        <v>8</v>
      </c>
      <c r="D547">
        <v>175</v>
      </c>
      <c r="E547">
        <v>48</v>
      </c>
      <c r="F547">
        <v>1</v>
      </c>
      <c r="G547">
        <v>146.85</v>
      </c>
      <c r="H547">
        <v>0</v>
      </c>
      <c r="I547">
        <v>146.85</v>
      </c>
    </row>
    <row r="548" spans="1:9" x14ac:dyDescent="0.25">
      <c r="A548">
        <v>547</v>
      </c>
      <c r="B548" s="9">
        <v>45132</v>
      </c>
      <c r="C548">
        <v>3</v>
      </c>
      <c r="D548">
        <v>52</v>
      </c>
      <c r="E548">
        <v>97</v>
      </c>
      <c r="F548">
        <v>1</v>
      </c>
      <c r="G548">
        <v>158.26</v>
      </c>
      <c r="H548">
        <v>0</v>
      </c>
      <c r="I548">
        <v>158.26</v>
      </c>
    </row>
    <row r="549" spans="1:9" x14ac:dyDescent="0.25">
      <c r="A549">
        <v>548</v>
      </c>
      <c r="B549" s="9">
        <v>44937</v>
      </c>
      <c r="C549">
        <v>3</v>
      </c>
      <c r="D549">
        <v>9</v>
      </c>
      <c r="E549">
        <v>27</v>
      </c>
      <c r="F549">
        <v>1</v>
      </c>
      <c r="G549">
        <v>66.790000000000006</v>
      </c>
      <c r="H549">
        <v>0</v>
      </c>
      <c r="I549">
        <v>66.790000000000006</v>
      </c>
    </row>
    <row r="550" spans="1:9" x14ac:dyDescent="0.25">
      <c r="A550">
        <v>549</v>
      </c>
      <c r="B550" s="9">
        <v>45760</v>
      </c>
      <c r="C550">
        <v>8</v>
      </c>
      <c r="D550">
        <v>220</v>
      </c>
      <c r="E550">
        <v>47</v>
      </c>
      <c r="F550">
        <v>1</v>
      </c>
      <c r="G550">
        <v>93.41</v>
      </c>
      <c r="H550">
        <v>0</v>
      </c>
      <c r="I550">
        <v>93.41</v>
      </c>
    </row>
    <row r="551" spans="1:9" x14ac:dyDescent="0.25">
      <c r="A551">
        <v>550</v>
      </c>
      <c r="B551" s="9">
        <v>45904</v>
      </c>
      <c r="C551">
        <v>4</v>
      </c>
      <c r="D551">
        <v>3</v>
      </c>
      <c r="E551">
        <v>62</v>
      </c>
      <c r="F551">
        <v>1</v>
      </c>
      <c r="G551">
        <v>82.81</v>
      </c>
      <c r="H551">
        <v>0</v>
      </c>
      <c r="I551">
        <v>82.81</v>
      </c>
    </row>
    <row r="552" spans="1:9" x14ac:dyDescent="0.25">
      <c r="A552">
        <v>551</v>
      </c>
      <c r="B552" s="9">
        <v>45515</v>
      </c>
      <c r="C552">
        <v>6</v>
      </c>
      <c r="D552">
        <v>133</v>
      </c>
      <c r="E552">
        <v>41</v>
      </c>
      <c r="F552">
        <v>1</v>
      </c>
      <c r="G552">
        <v>45.5</v>
      </c>
      <c r="H552">
        <v>0.05</v>
      </c>
      <c r="I552">
        <v>43.23</v>
      </c>
    </row>
    <row r="553" spans="1:9" x14ac:dyDescent="0.25">
      <c r="A553">
        <v>552</v>
      </c>
      <c r="B553" s="9">
        <v>45511</v>
      </c>
      <c r="C553">
        <v>1</v>
      </c>
      <c r="D553">
        <v>68</v>
      </c>
      <c r="E553">
        <v>41</v>
      </c>
      <c r="F553">
        <v>1</v>
      </c>
      <c r="G553">
        <v>45.5</v>
      </c>
      <c r="H553">
        <v>0</v>
      </c>
      <c r="I553">
        <v>45.5</v>
      </c>
    </row>
    <row r="554" spans="1:9" x14ac:dyDescent="0.25">
      <c r="A554">
        <v>553</v>
      </c>
      <c r="B554" s="9">
        <v>45110</v>
      </c>
      <c r="C554">
        <v>4</v>
      </c>
      <c r="D554">
        <v>15</v>
      </c>
      <c r="E554">
        <v>30</v>
      </c>
      <c r="F554">
        <v>2</v>
      </c>
      <c r="G554">
        <v>19.399999999999999</v>
      </c>
      <c r="H554">
        <v>0</v>
      </c>
      <c r="I554">
        <v>38.799999999999997</v>
      </c>
    </row>
    <row r="555" spans="1:9" x14ac:dyDescent="0.25">
      <c r="A555">
        <v>554</v>
      </c>
      <c r="B555" s="9">
        <v>45003</v>
      </c>
      <c r="C555">
        <v>3</v>
      </c>
      <c r="D555">
        <v>55</v>
      </c>
      <c r="E555">
        <v>69</v>
      </c>
      <c r="F555">
        <v>1</v>
      </c>
      <c r="G555">
        <v>22.86</v>
      </c>
      <c r="H555">
        <v>0.05</v>
      </c>
      <c r="I555">
        <v>21.72</v>
      </c>
    </row>
    <row r="556" spans="1:9" x14ac:dyDescent="0.25">
      <c r="A556">
        <v>555</v>
      </c>
      <c r="B556" s="9">
        <v>45782</v>
      </c>
      <c r="C556">
        <v>3</v>
      </c>
      <c r="D556">
        <v>61</v>
      </c>
      <c r="E556">
        <v>14</v>
      </c>
      <c r="F556">
        <v>1</v>
      </c>
      <c r="G556">
        <v>70.08</v>
      </c>
      <c r="H556">
        <v>0.1</v>
      </c>
      <c r="I556">
        <v>63.07</v>
      </c>
    </row>
    <row r="557" spans="1:9" x14ac:dyDescent="0.25">
      <c r="A557">
        <v>556</v>
      </c>
      <c r="B557" s="9">
        <v>45001</v>
      </c>
      <c r="C557">
        <v>7</v>
      </c>
      <c r="D557">
        <v>208</v>
      </c>
      <c r="E557">
        <v>1</v>
      </c>
      <c r="F557">
        <v>1</v>
      </c>
      <c r="G557">
        <v>90.53</v>
      </c>
      <c r="H557">
        <v>0</v>
      </c>
      <c r="I557">
        <v>90.53</v>
      </c>
    </row>
    <row r="558" spans="1:9" x14ac:dyDescent="0.25">
      <c r="A558">
        <v>557</v>
      </c>
      <c r="B558" s="9">
        <v>45941</v>
      </c>
      <c r="C558">
        <v>3</v>
      </c>
      <c r="D558">
        <v>107</v>
      </c>
      <c r="E558">
        <v>80</v>
      </c>
      <c r="F558">
        <v>1</v>
      </c>
      <c r="G558">
        <v>33.380000000000003</v>
      </c>
      <c r="H558">
        <v>0.1</v>
      </c>
      <c r="I558">
        <v>30.04</v>
      </c>
    </row>
    <row r="559" spans="1:9" x14ac:dyDescent="0.25">
      <c r="A559">
        <v>558</v>
      </c>
      <c r="B559" s="9">
        <v>45519</v>
      </c>
      <c r="C559">
        <v>1</v>
      </c>
      <c r="D559">
        <v>47</v>
      </c>
      <c r="E559">
        <v>76</v>
      </c>
      <c r="F559">
        <v>1</v>
      </c>
      <c r="G559">
        <v>181.01</v>
      </c>
      <c r="H559">
        <v>0</v>
      </c>
      <c r="I559">
        <v>181.01</v>
      </c>
    </row>
    <row r="560" spans="1:9" x14ac:dyDescent="0.25">
      <c r="A560">
        <v>559</v>
      </c>
      <c r="B560" s="9">
        <v>44945</v>
      </c>
      <c r="C560">
        <v>5</v>
      </c>
      <c r="D560">
        <v>11</v>
      </c>
      <c r="E560">
        <v>58</v>
      </c>
      <c r="F560">
        <v>1</v>
      </c>
      <c r="G560">
        <v>64.400000000000006</v>
      </c>
      <c r="H560">
        <v>0</v>
      </c>
      <c r="I560">
        <v>64.400000000000006</v>
      </c>
    </row>
    <row r="561" spans="1:9" x14ac:dyDescent="0.25">
      <c r="A561">
        <v>560</v>
      </c>
      <c r="B561" s="9">
        <v>45146</v>
      </c>
      <c r="C561">
        <v>6</v>
      </c>
      <c r="D561">
        <v>77</v>
      </c>
      <c r="E561">
        <v>4</v>
      </c>
      <c r="F561">
        <v>1</v>
      </c>
      <c r="G561">
        <v>168</v>
      </c>
      <c r="H561">
        <v>0</v>
      </c>
      <c r="I561">
        <v>168</v>
      </c>
    </row>
    <row r="562" spans="1:9" x14ac:dyDescent="0.25">
      <c r="A562">
        <v>561</v>
      </c>
      <c r="B562" s="9">
        <v>45509</v>
      </c>
      <c r="C562">
        <v>8</v>
      </c>
      <c r="D562">
        <v>67</v>
      </c>
      <c r="E562">
        <v>52</v>
      </c>
      <c r="F562">
        <v>1</v>
      </c>
      <c r="G562">
        <v>196.75</v>
      </c>
      <c r="H562">
        <v>0.15</v>
      </c>
      <c r="I562">
        <v>167.24</v>
      </c>
    </row>
    <row r="563" spans="1:9" x14ac:dyDescent="0.25">
      <c r="A563">
        <v>562</v>
      </c>
      <c r="B563" s="9">
        <v>45938</v>
      </c>
      <c r="C563">
        <v>3</v>
      </c>
      <c r="D563">
        <v>158</v>
      </c>
      <c r="E563">
        <v>85</v>
      </c>
      <c r="F563">
        <v>1</v>
      </c>
      <c r="G563">
        <v>83.36</v>
      </c>
      <c r="H563">
        <v>0.1</v>
      </c>
      <c r="I563">
        <v>75.02</v>
      </c>
    </row>
    <row r="564" spans="1:9" x14ac:dyDescent="0.25">
      <c r="A564">
        <v>563</v>
      </c>
      <c r="B564" s="9">
        <v>45959</v>
      </c>
      <c r="C564">
        <v>8</v>
      </c>
      <c r="D564">
        <v>37</v>
      </c>
      <c r="E564">
        <v>4</v>
      </c>
      <c r="F564">
        <v>2</v>
      </c>
      <c r="G564">
        <v>168</v>
      </c>
      <c r="H564">
        <v>0</v>
      </c>
      <c r="I564">
        <v>336</v>
      </c>
    </row>
    <row r="565" spans="1:9" x14ac:dyDescent="0.25">
      <c r="A565">
        <v>564</v>
      </c>
      <c r="B565" s="9">
        <v>45485</v>
      </c>
      <c r="C565">
        <v>4</v>
      </c>
      <c r="D565">
        <v>185</v>
      </c>
      <c r="E565">
        <v>71</v>
      </c>
      <c r="F565">
        <v>1</v>
      </c>
      <c r="G565">
        <v>225.61</v>
      </c>
      <c r="H565">
        <v>0</v>
      </c>
      <c r="I565">
        <v>225.61</v>
      </c>
    </row>
    <row r="566" spans="1:9" x14ac:dyDescent="0.25">
      <c r="A566">
        <v>565</v>
      </c>
      <c r="B566" s="9">
        <v>45157</v>
      </c>
      <c r="C566">
        <v>6</v>
      </c>
      <c r="D566">
        <v>152</v>
      </c>
      <c r="E566">
        <v>48</v>
      </c>
      <c r="F566">
        <v>1</v>
      </c>
      <c r="G566">
        <v>146.85</v>
      </c>
      <c r="H566">
        <v>0</v>
      </c>
      <c r="I566">
        <v>146.85</v>
      </c>
    </row>
    <row r="567" spans="1:9" x14ac:dyDescent="0.25">
      <c r="A567">
        <v>566</v>
      </c>
      <c r="B567" s="9">
        <v>45259</v>
      </c>
      <c r="C567">
        <v>8</v>
      </c>
      <c r="D567">
        <v>93</v>
      </c>
      <c r="E567">
        <v>91</v>
      </c>
      <c r="F567">
        <v>2</v>
      </c>
      <c r="G567">
        <v>33.700000000000003</v>
      </c>
      <c r="H567">
        <v>0.15</v>
      </c>
      <c r="I567">
        <v>57.29</v>
      </c>
    </row>
    <row r="568" spans="1:9" x14ac:dyDescent="0.25">
      <c r="A568">
        <v>567</v>
      </c>
      <c r="B568" s="9">
        <v>45453</v>
      </c>
      <c r="C568">
        <v>3</v>
      </c>
      <c r="D568">
        <v>187</v>
      </c>
      <c r="E568">
        <v>69</v>
      </c>
      <c r="F568">
        <v>1</v>
      </c>
      <c r="G568">
        <v>22.86</v>
      </c>
      <c r="H568">
        <v>0.05</v>
      </c>
      <c r="I568">
        <v>21.72</v>
      </c>
    </row>
    <row r="569" spans="1:9" x14ac:dyDescent="0.25">
      <c r="A569">
        <v>568</v>
      </c>
      <c r="B569" s="9">
        <v>44955</v>
      </c>
      <c r="C569">
        <v>6</v>
      </c>
      <c r="D569">
        <v>175</v>
      </c>
      <c r="E569">
        <v>92</v>
      </c>
      <c r="F569">
        <v>2</v>
      </c>
      <c r="G569">
        <v>223.32</v>
      </c>
      <c r="H569">
        <v>0.1</v>
      </c>
      <c r="I569">
        <v>401.98</v>
      </c>
    </row>
    <row r="570" spans="1:9" x14ac:dyDescent="0.25">
      <c r="A570">
        <v>569</v>
      </c>
      <c r="B570" s="9">
        <v>45531</v>
      </c>
      <c r="C570">
        <v>4</v>
      </c>
      <c r="D570">
        <v>82</v>
      </c>
      <c r="E570">
        <v>35</v>
      </c>
      <c r="F570">
        <v>1</v>
      </c>
      <c r="G570">
        <v>303.48</v>
      </c>
      <c r="H570">
        <v>0.1</v>
      </c>
      <c r="I570">
        <v>273.13</v>
      </c>
    </row>
    <row r="571" spans="1:9" x14ac:dyDescent="0.25">
      <c r="A571">
        <v>570</v>
      </c>
      <c r="B571" s="9">
        <v>45286</v>
      </c>
      <c r="C571">
        <v>7</v>
      </c>
      <c r="D571">
        <v>49</v>
      </c>
      <c r="E571">
        <v>51</v>
      </c>
      <c r="F571">
        <v>1</v>
      </c>
      <c r="G571">
        <v>302.75</v>
      </c>
      <c r="H571">
        <v>0.15</v>
      </c>
      <c r="I571">
        <v>257.33999999999997</v>
      </c>
    </row>
    <row r="572" spans="1:9" x14ac:dyDescent="0.25">
      <c r="A572">
        <v>571</v>
      </c>
      <c r="B572" s="9">
        <v>45802</v>
      </c>
      <c r="C572">
        <v>6</v>
      </c>
      <c r="D572">
        <v>52</v>
      </c>
      <c r="E572">
        <v>71</v>
      </c>
      <c r="F572">
        <v>1</v>
      </c>
      <c r="G572">
        <v>225.61</v>
      </c>
      <c r="H572">
        <v>0</v>
      </c>
      <c r="I572">
        <v>225.61</v>
      </c>
    </row>
    <row r="573" spans="1:9" x14ac:dyDescent="0.25">
      <c r="A573">
        <v>572</v>
      </c>
      <c r="B573" s="9">
        <v>45104</v>
      </c>
      <c r="C573">
        <v>7</v>
      </c>
      <c r="D573">
        <v>134</v>
      </c>
      <c r="E573">
        <v>75</v>
      </c>
      <c r="F573">
        <v>1</v>
      </c>
      <c r="G573">
        <v>205.69</v>
      </c>
      <c r="H573">
        <v>0</v>
      </c>
      <c r="I573">
        <v>205.69</v>
      </c>
    </row>
    <row r="574" spans="1:9" x14ac:dyDescent="0.25">
      <c r="A574">
        <v>573</v>
      </c>
      <c r="B574" s="9">
        <v>45122</v>
      </c>
      <c r="C574">
        <v>3</v>
      </c>
      <c r="D574">
        <v>144</v>
      </c>
      <c r="E574">
        <v>21</v>
      </c>
      <c r="F574">
        <v>2</v>
      </c>
      <c r="G574">
        <v>187.71</v>
      </c>
      <c r="H574">
        <v>0</v>
      </c>
      <c r="I574">
        <v>375.42</v>
      </c>
    </row>
    <row r="575" spans="1:9" x14ac:dyDescent="0.25">
      <c r="A575">
        <v>574</v>
      </c>
      <c r="B575" s="9">
        <v>45214</v>
      </c>
      <c r="C575">
        <v>8</v>
      </c>
      <c r="D575">
        <v>4</v>
      </c>
      <c r="E575">
        <v>10</v>
      </c>
      <c r="F575">
        <v>1</v>
      </c>
      <c r="G575">
        <v>168.82</v>
      </c>
      <c r="H575">
        <v>0.05</v>
      </c>
      <c r="I575">
        <v>160.38</v>
      </c>
    </row>
    <row r="576" spans="1:9" x14ac:dyDescent="0.25">
      <c r="A576">
        <v>575</v>
      </c>
      <c r="B576" s="9">
        <v>45589</v>
      </c>
      <c r="C576">
        <v>4</v>
      </c>
      <c r="D576">
        <v>97</v>
      </c>
      <c r="E576">
        <v>35</v>
      </c>
      <c r="F576">
        <v>1</v>
      </c>
      <c r="G576">
        <v>303.48</v>
      </c>
      <c r="H576">
        <v>0.15</v>
      </c>
      <c r="I576">
        <v>257.95999999999998</v>
      </c>
    </row>
    <row r="577" spans="1:9" x14ac:dyDescent="0.25">
      <c r="A577">
        <v>576</v>
      </c>
      <c r="B577" s="9">
        <v>44940</v>
      </c>
      <c r="C577">
        <v>5</v>
      </c>
      <c r="D577">
        <v>122</v>
      </c>
      <c r="E577">
        <v>54</v>
      </c>
      <c r="F577">
        <v>1</v>
      </c>
      <c r="G577">
        <v>245.9</v>
      </c>
      <c r="H577">
        <v>0</v>
      </c>
      <c r="I577">
        <v>245.9</v>
      </c>
    </row>
    <row r="578" spans="1:9" x14ac:dyDescent="0.25">
      <c r="A578">
        <v>577</v>
      </c>
      <c r="B578" s="9">
        <v>45712</v>
      </c>
      <c r="C578">
        <v>4</v>
      </c>
      <c r="D578">
        <v>172</v>
      </c>
      <c r="E578">
        <v>20</v>
      </c>
      <c r="F578">
        <v>1</v>
      </c>
      <c r="G578">
        <v>85.89</v>
      </c>
      <c r="H578">
        <v>0</v>
      </c>
      <c r="I578">
        <v>85.89</v>
      </c>
    </row>
    <row r="579" spans="1:9" x14ac:dyDescent="0.25">
      <c r="A579">
        <v>578</v>
      </c>
      <c r="B579" s="9">
        <v>45841</v>
      </c>
      <c r="C579">
        <v>5</v>
      </c>
      <c r="D579">
        <v>213</v>
      </c>
      <c r="E579">
        <v>70</v>
      </c>
      <c r="F579">
        <v>1</v>
      </c>
      <c r="G579">
        <v>280.36</v>
      </c>
      <c r="H579">
        <v>0.05</v>
      </c>
      <c r="I579">
        <v>266.33999999999997</v>
      </c>
    </row>
    <row r="580" spans="1:9" x14ac:dyDescent="0.25">
      <c r="A580">
        <v>579</v>
      </c>
      <c r="B580" s="9">
        <v>45602</v>
      </c>
      <c r="C580">
        <v>5</v>
      </c>
      <c r="D580">
        <v>201</v>
      </c>
      <c r="E580">
        <v>78</v>
      </c>
      <c r="F580">
        <v>2</v>
      </c>
      <c r="G580">
        <v>25.66</v>
      </c>
      <c r="H580">
        <v>0.05</v>
      </c>
      <c r="I580">
        <v>48.75</v>
      </c>
    </row>
    <row r="581" spans="1:9" x14ac:dyDescent="0.25">
      <c r="A581">
        <v>580</v>
      </c>
      <c r="B581" s="9">
        <v>44950</v>
      </c>
      <c r="C581">
        <v>5</v>
      </c>
      <c r="D581">
        <v>98</v>
      </c>
      <c r="E581">
        <v>22</v>
      </c>
      <c r="F581">
        <v>1</v>
      </c>
      <c r="G581">
        <v>49.91</v>
      </c>
      <c r="H581">
        <v>0</v>
      </c>
      <c r="I581">
        <v>49.91</v>
      </c>
    </row>
    <row r="582" spans="1:9" x14ac:dyDescent="0.25">
      <c r="A582">
        <v>581</v>
      </c>
      <c r="B582" s="9">
        <v>45663</v>
      </c>
      <c r="C582">
        <v>4</v>
      </c>
      <c r="D582">
        <v>164</v>
      </c>
      <c r="E582">
        <v>3</v>
      </c>
      <c r="F582">
        <v>5</v>
      </c>
      <c r="G582">
        <v>190.58</v>
      </c>
      <c r="H582">
        <v>0</v>
      </c>
      <c r="I582">
        <v>952.9</v>
      </c>
    </row>
    <row r="583" spans="1:9" x14ac:dyDescent="0.25">
      <c r="A583">
        <v>582</v>
      </c>
      <c r="B583" s="9">
        <v>45054</v>
      </c>
      <c r="C583">
        <v>2</v>
      </c>
      <c r="D583">
        <v>179</v>
      </c>
      <c r="E583">
        <v>17</v>
      </c>
      <c r="F583">
        <v>2</v>
      </c>
      <c r="G583">
        <v>97.14</v>
      </c>
      <c r="H583">
        <v>0.15</v>
      </c>
      <c r="I583">
        <v>165.14</v>
      </c>
    </row>
    <row r="584" spans="1:9" x14ac:dyDescent="0.25">
      <c r="A584">
        <v>583</v>
      </c>
      <c r="B584" s="9">
        <v>45880</v>
      </c>
      <c r="C584">
        <v>5</v>
      </c>
      <c r="D584">
        <v>200</v>
      </c>
      <c r="E584">
        <v>52</v>
      </c>
      <c r="F584">
        <v>1</v>
      </c>
      <c r="G584">
        <v>196.75</v>
      </c>
      <c r="H584">
        <v>0.05</v>
      </c>
      <c r="I584">
        <v>186.91</v>
      </c>
    </row>
    <row r="585" spans="1:9" x14ac:dyDescent="0.25">
      <c r="A585">
        <v>584</v>
      </c>
      <c r="B585" s="9">
        <v>45254</v>
      </c>
      <c r="C585">
        <v>7</v>
      </c>
      <c r="D585">
        <v>106</v>
      </c>
      <c r="E585">
        <v>46</v>
      </c>
      <c r="F585">
        <v>1</v>
      </c>
      <c r="G585">
        <v>157</v>
      </c>
      <c r="H585">
        <v>0.05</v>
      </c>
      <c r="I585">
        <v>149.15</v>
      </c>
    </row>
    <row r="586" spans="1:9" x14ac:dyDescent="0.25">
      <c r="A586">
        <v>585</v>
      </c>
      <c r="B586" s="9">
        <v>45956</v>
      </c>
      <c r="C586">
        <v>5</v>
      </c>
      <c r="D586">
        <v>126</v>
      </c>
      <c r="E586">
        <v>7</v>
      </c>
      <c r="F586">
        <v>1</v>
      </c>
      <c r="G586">
        <v>21.72</v>
      </c>
      <c r="H586">
        <v>0</v>
      </c>
      <c r="I586">
        <v>21.72</v>
      </c>
    </row>
    <row r="587" spans="1:9" x14ac:dyDescent="0.25">
      <c r="A587">
        <v>586</v>
      </c>
      <c r="B587" s="9">
        <v>45167</v>
      </c>
      <c r="C587">
        <v>5</v>
      </c>
      <c r="D587">
        <v>87</v>
      </c>
      <c r="E587">
        <v>45</v>
      </c>
      <c r="F587">
        <v>1</v>
      </c>
      <c r="G587">
        <v>70.989999999999995</v>
      </c>
      <c r="H587">
        <v>0</v>
      </c>
      <c r="I587">
        <v>70.989999999999995</v>
      </c>
    </row>
    <row r="588" spans="1:9" x14ac:dyDescent="0.25">
      <c r="A588">
        <v>587</v>
      </c>
      <c r="B588" s="9">
        <v>45679</v>
      </c>
      <c r="C588">
        <v>4</v>
      </c>
      <c r="D588">
        <v>188</v>
      </c>
      <c r="E588">
        <v>14</v>
      </c>
      <c r="F588">
        <v>1</v>
      </c>
      <c r="G588">
        <v>70.08</v>
      </c>
      <c r="H588">
        <v>0.1</v>
      </c>
      <c r="I588">
        <v>63.07</v>
      </c>
    </row>
    <row r="589" spans="1:9" x14ac:dyDescent="0.25">
      <c r="A589">
        <v>588</v>
      </c>
      <c r="B589" s="9">
        <v>45375</v>
      </c>
      <c r="C589">
        <v>3</v>
      </c>
      <c r="D589">
        <v>72</v>
      </c>
      <c r="E589">
        <v>36</v>
      </c>
      <c r="F589">
        <v>3</v>
      </c>
      <c r="G589">
        <v>211.43</v>
      </c>
      <c r="H589">
        <v>0</v>
      </c>
      <c r="I589">
        <v>634.29</v>
      </c>
    </row>
    <row r="590" spans="1:9" x14ac:dyDescent="0.25">
      <c r="A590">
        <v>589</v>
      </c>
      <c r="B590" s="9">
        <v>45906</v>
      </c>
      <c r="C590">
        <v>3</v>
      </c>
      <c r="D590">
        <v>31</v>
      </c>
      <c r="E590">
        <v>61</v>
      </c>
      <c r="F590">
        <v>1</v>
      </c>
      <c r="G590">
        <v>106.64</v>
      </c>
      <c r="H590">
        <v>0</v>
      </c>
      <c r="I590">
        <v>106.64</v>
      </c>
    </row>
    <row r="591" spans="1:9" x14ac:dyDescent="0.25">
      <c r="A591">
        <v>590</v>
      </c>
      <c r="B591" s="9">
        <v>45858</v>
      </c>
      <c r="C591">
        <v>6</v>
      </c>
      <c r="D591">
        <v>102</v>
      </c>
      <c r="E591">
        <v>90</v>
      </c>
      <c r="F591">
        <v>1</v>
      </c>
      <c r="G591">
        <v>122.32</v>
      </c>
      <c r="H591">
        <v>0</v>
      </c>
      <c r="I591">
        <v>122.32</v>
      </c>
    </row>
    <row r="592" spans="1:9" x14ac:dyDescent="0.25">
      <c r="A592">
        <v>591</v>
      </c>
      <c r="B592" s="9">
        <v>45778</v>
      </c>
      <c r="C592">
        <v>8</v>
      </c>
      <c r="D592">
        <v>12</v>
      </c>
      <c r="E592">
        <v>29</v>
      </c>
      <c r="F592">
        <v>1</v>
      </c>
      <c r="G592">
        <v>138.6</v>
      </c>
      <c r="H592">
        <v>0</v>
      </c>
      <c r="I592">
        <v>138.6</v>
      </c>
    </row>
    <row r="593" spans="1:9" x14ac:dyDescent="0.25">
      <c r="A593">
        <v>592</v>
      </c>
      <c r="B593" s="9">
        <v>45374</v>
      </c>
      <c r="C593">
        <v>4</v>
      </c>
      <c r="D593">
        <v>190</v>
      </c>
      <c r="E593">
        <v>92</v>
      </c>
      <c r="F593">
        <v>1</v>
      </c>
      <c r="G593">
        <v>223.32</v>
      </c>
      <c r="H593">
        <v>0</v>
      </c>
      <c r="I593">
        <v>223.32</v>
      </c>
    </row>
    <row r="594" spans="1:9" x14ac:dyDescent="0.25">
      <c r="A594">
        <v>593</v>
      </c>
      <c r="B594" s="9">
        <v>45094</v>
      </c>
      <c r="C594">
        <v>8</v>
      </c>
      <c r="D594">
        <v>74</v>
      </c>
      <c r="E594">
        <v>2</v>
      </c>
      <c r="F594">
        <v>1</v>
      </c>
      <c r="G594">
        <v>274.16000000000003</v>
      </c>
      <c r="H594">
        <v>0</v>
      </c>
      <c r="I594">
        <v>274.16000000000003</v>
      </c>
    </row>
    <row r="595" spans="1:9" x14ac:dyDescent="0.25">
      <c r="A595">
        <v>594</v>
      </c>
      <c r="B595" s="9">
        <v>45667</v>
      </c>
      <c r="C595">
        <v>2</v>
      </c>
      <c r="D595">
        <v>164</v>
      </c>
      <c r="E595">
        <v>74</v>
      </c>
      <c r="F595">
        <v>1</v>
      </c>
      <c r="G595">
        <v>205.01</v>
      </c>
      <c r="H595">
        <v>0</v>
      </c>
      <c r="I595">
        <v>205.01</v>
      </c>
    </row>
    <row r="596" spans="1:9" x14ac:dyDescent="0.25">
      <c r="A596">
        <v>595</v>
      </c>
      <c r="B596" s="9">
        <v>45156</v>
      </c>
      <c r="C596">
        <v>1</v>
      </c>
      <c r="D596">
        <v>59</v>
      </c>
      <c r="E596">
        <v>79</v>
      </c>
      <c r="F596">
        <v>1</v>
      </c>
      <c r="G596">
        <v>117.59</v>
      </c>
      <c r="H596">
        <v>0.05</v>
      </c>
      <c r="I596">
        <v>111.71</v>
      </c>
    </row>
    <row r="597" spans="1:9" x14ac:dyDescent="0.25">
      <c r="A597">
        <v>596</v>
      </c>
      <c r="B597" s="9">
        <v>45962</v>
      </c>
      <c r="C597">
        <v>4</v>
      </c>
      <c r="D597">
        <v>74</v>
      </c>
      <c r="E597">
        <v>78</v>
      </c>
      <c r="F597">
        <v>1</v>
      </c>
      <c r="G597">
        <v>25.66</v>
      </c>
      <c r="H597">
        <v>0</v>
      </c>
      <c r="I597">
        <v>25.66</v>
      </c>
    </row>
    <row r="598" spans="1:9" x14ac:dyDescent="0.25">
      <c r="A598">
        <v>597</v>
      </c>
      <c r="B598" s="9">
        <v>45233</v>
      </c>
      <c r="C598">
        <v>3</v>
      </c>
      <c r="D598">
        <v>105</v>
      </c>
      <c r="E598">
        <v>21</v>
      </c>
      <c r="F598">
        <v>1</v>
      </c>
      <c r="G598">
        <v>187.71</v>
      </c>
      <c r="H598">
        <v>0.05</v>
      </c>
      <c r="I598">
        <v>178.32</v>
      </c>
    </row>
    <row r="599" spans="1:9" x14ac:dyDescent="0.25">
      <c r="A599">
        <v>598</v>
      </c>
      <c r="B599" s="9">
        <v>45598</v>
      </c>
      <c r="C599">
        <v>8</v>
      </c>
      <c r="D599">
        <v>203</v>
      </c>
      <c r="E599">
        <v>87</v>
      </c>
      <c r="F599">
        <v>1</v>
      </c>
      <c r="G599">
        <v>223.85</v>
      </c>
      <c r="H599">
        <v>0</v>
      </c>
      <c r="I599">
        <v>223.85</v>
      </c>
    </row>
    <row r="600" spans="1:9" x14ac:dyDescent="0.25">
      <c r="A600">
        <v>599</v>
      </c>
      <c r="B600" s="9">
        <v>45165</v>
      </c>
      <c r="C600">
        <v>4</v>
      </c>
      <c r="D600">
        <v>78</v>
      </c>
      <c r="E600">
        <v>14</v>
      </c>
      <c r="F600">
        <v>1</v>
      </c>
      <c r="G600">
        <v>70.08</v>
      </c>
      <c r="H600">
        <v>0</v>
      </c>
      <c r="I600">
        <v>70.08</v>
      </c>
    </row>
    <row r="601" spans="1:9" x14ac:dyDescent="0.25">
      <c r="A601">
        <v>600</v>
      </c>
      <c r="B601" s="9">
        <v>45928</v>
      </c>
      <c r="C601">
        <v>2</v>
      </c>
      <c r="D601">
        <v>126</v>
      </c>
      <c r="E601">
        <v>14</v>
      </c>
      <c r="F601">
        <v>1</v>
      </c>
      <c r="G601">
        <v>70.08</v>
      </c>
      <c r="H601">
        <v>0</v>
      </c>
      <c r="I601">
        <v>70.08</v>
      </c>
    </row>
    <row r="602" spans="1:9" x14ac:dyDescent="0.25">
      <c r="A602">
        <v>601</v>
      </c>
      <c r="B602" s="9">
        <v>45972</v>
      </c>
      <c r="C602">
        <v>8</v>
      </c>
      <c r="D602">
        <v>115</v>
      </c>
      <c r="E602">
        <v>36</v>
      </c>
      <c r="F602">
        <v>2</v>
      </c>
      <c r="G602">
        <v>211.43</v>
      </c>
      <c r="H602">
        <v>0.05</v>
      </c>
      <c r="I602">
        <v>401.72</v>
      </c>
    </row>
    <row r="603" spans="1:9" x14ac:dyDescent="0.25">
      <c r="A603">
        <v>602</v>
      </c>
      <c r="B603" s="9">
        <v>45040</v>
      </c>
      <c r="C603">
        <v>8</v>
      </c>
      <c r="D603">
        <v>64</v>
      </c>
      <c r="E603">
        <v>24</v>
      </c>
      <c r="F603">
        <v>1</v>
      </c>
      <c r="G603">
        <v>91.73</v>
      </c>
      <c r="H603">
        <v>0</v>
      </c>
      <c r="I603">
        <v>91.73</v>
      </c>
    </row>
    <row r="604" spans="1:9" x14ac:dyDescent="0.25">
      <c r="A604">
        <v>603</v>
      </c>
      <c r="B604" s="9">
        <v>45197</v>
      </c>
      <c r="C604">
        <v>7</v>
      </c>
      <c r="D604">
        <v>102</v>
      </c>
      <c r="E604">
        <v>65</v>
      </c>
      <c r="F604">
        <v>4</v>
      </c>
      <c r="G604">
        <v>71.14</v>
      </c>
      <c r="H604">
        <v>0.05</v>
      </c>
      <c r="I604">
        <v>270.33</v>
      </c>
    </row>
    <row r="605" spans="1:9" x14ac:dyDescent="0.25">
      <c r="A605">
        <v>604</v>
      </c>
      <c r="B605" s="9">
        <v>45862</v>
      </c>
      <c r="C605">
        <v>1</v>
      </c>
      <c r="D605">
        <v>200</v>
      </c>
      <c r="E605">
        <v>83</v>
      </c>
      <c r="F605">
        <v>1</v>
      </c>
      <c r="G605">
        <v>109.16</v>
      </c>
      <c r="H605">
        <v>0.15</v>
      </c>
      <c r="I605">
        <v>92.79</v>
      </c>
    </row>
    <row r="606" spans="1:9" x14ac:dyDescent="0.25">
      <c r="A606">
        <v>605</v>
      </c>
      <c r="B606" s="9">
        <v>45873</v>
      </c>
      <c r="C606">
        <v>5</v>
      </c>
      <c r="D606">
        <v>128</v>
      </c>
      <c r="E606">
        <v>75</v>
      </c>
      <c r="F606">
        <v>2</v>
      </c>
      <c r="G606">
        <v>205.69</v>
      </c>
      <c r="H606">
        <v>0.1</v>
      </c>
      <c r="I606">
        <v>370.24</v>
      </c>
    </row>
    <row r="607" spans="1:9" x14ac:dyDescent="0.25">
      <c r="A607">
        <v>606</v>
      </c>
      <c r="B607" s="9">
        <v>44971</v>
      </c>
      <c r="C607">
        <v>7</v>
      </c>
      <c r="D607">
        <v>200</v>
      </c>
      <c r="E607">
        <v>82</v>
      </c>
      <c r="F607">
        <v>1</v>
      </c>
      <c r="G607">
        <v>151.85</v>
      </c>
      <c r="H607">
        <v>0.05</v>
      </c>
      <c r="I607">
        <v>144.26</v>
      </c>
    </row>
    <row r="608" spans="1:9" x14ac:dyDescent="0.25">
      <c r="A608">
        <v>607</v>
      </c>
      <c r="B608" s="9">
        <v>45448</v>
      </c>
      <c r="C608">
        <v>1</v>
      </c>
      <c r="D608">
        <v>77</v>
      </c>
      <c r="E608">
        <v>62</v>
      </c>
      <c r="F608">
        <v>3</v>
      </c>
      <c r="G608">
        <v>82.81</v>
      </c>
      <c r="H608">
        <v>0.05</v>
      </c>
      <c r="I608">
        <v>236.01</v>
      </c>
    </row>
    <row r="609" spans="1:9" x14ac:dyDescent="0.25">
      <c r="A609">
        <v>608</v>
      </c>
      <c r="B609" s="9">
        <v>45373</v>
      </c>
      <c r="C609">
        <v>2</v>
      </c>
      <c r="D609">
        <v>91</v>
      </c>
      <c r="E609">
        <v>51</v>
      </c>
      <c r="F609">
        <v>1</v>
      </c>
      <c r="G609">
        <v>302.75</v>
      </c>
      <c r="H609">
        <v>0.15</v>
      </c>
      <c r="I609">
        <v>257.33999999999997</v>
      </c>
    </row>
    <row r="610" spans="1:9" x14ac:dyDescent="0.25">
      <c r="A610">
        <v>609</v>
      </c>
      <c r="B610" s="9">
        <v>45019</v>
      </c>
      <c r="C610">
        <v>7</v>
      </c>
      <c r="D610">
        <v>2</v>
      </c>
      <c r="E610">
        <v>52</v>
      </c>
      <c r="F610">
        <v>1</v>
      </c>
      <c r="G610">
        <v>196.75</v>
      </c>
      <c r="H610">
        <v>0</v>
      </c>
      <c r="I610">
        <v>196.75</v>
      </c>
    </row>
    <row r="611" spans="1:9" x14ac:dyDescent="0.25">
      <c r="A611">
        <v>610</v>
      </c>
      <c r="B611" s="9">
        <v>45632</v>
      </c>
      <c r="C611">
        <v>2</v>
      </c>
      <c r="D611">
        <v>64</v>
      </c>
      <c r="E611">
        <v>61</v>
      </c>
      <c r="F611">
        <v>2</v>
      </c>
      <c r="G611">
        <v>106.64</v>
      </c>
      <c r="H611">
        <v>0.05</v>
      </c>
      <c r="I611">
        <v>202.62</v>
      </c>
    </row>
    <row r="612" spans="1:9" x14ac:dyDescent="0.25">
      <c r="A612">
        <v>611</v>
      </c>
      <c r="B612" s="9">
        <v>45050</v>
      </c>
      <c r="C612">
        <v>2</v>
      </c>
      <c r="D612">
        <v>66</v>
      </c>
      <c r="E612">
        <v>24</v>
      </c>
      <c r="F612">
        <v>1</v>
      </c>
      <c r="G612">
        <v>91.73</v>
      </c>
      <c r="H612">
        <v>0</v>
      </c>
      <c r="I612">
        <v>91.73</v>
      </c>
    </row>
    <row r="613" spans="1:9" x14ac:dyDescent="0.25">
      <c r="A613">
        <v>612</v>
      </c>
      <c r="B613" s="9">
        <v>45893</v>
      </c>
      <c r="C613">
        <v>1</v>
      </c>
      <c r="D613">
        <v>34</v>
      </c>
      <c r="E613">
        <v>77</v>
      </c>
      <c r="F613">
        <v>2</v>
      </c>
      <c r="G613">
        <v>226.88</v>
      </c>
      <c r="H613">
        <v>0</v>
      </c>
      <c r="I613">
        <v>453.76</v>
      </c>
    </row>
    <row r="614" spans="1:9" x14ac:dyDescent="0.25">
      <c r="A614">
        <v>613</v>
      </c>
      <c r="B614" s="9">
        <v>45514</v>
      </c>
      <c r="C614">
        <v>7</v>
      </c>
      <c r="D614">
        <v>118</v>
      </c>
      <c r="E614">
        <v>17</v>
      </c>
      <c r="F614">
        <v>1</v>
      </c>
      <c r="G614">
        <v>97.14</v>
      </c>
      <c r="H614">
        <v>0.05</v>
      </c>
      <c r="I614">
        <v>92.28</v>
      </c>
    </row>
    <row r="615" spans="1:9" x14ac:dyDescent="0.25">
      <c r="A615">
        <v>614</v>
      </c>
      <c r="B615" s="9">
        <v>45295</v>
      </c>
      <c r="C615">
        <v>3</v>
      </c>
      <c r="D615">
        <v>94</v>
      </c>
      <c r="E615">
        <v>98</v>
      </c>
      <c r="F615">
        <v>1</v>
      </c>
      <c r="G615">
        <v>136.97</v>
      </c>
      <c r="H615">
        <v>0.05</v>
      </c>
      <c r="I615">
        <v>130.12</v>
      </c>
    </row>
    <row r="616" spans="1:9" x14ac:dyDescent="0.25">
      <c r="A616">
        <v>615</v>
      </c>
      <c r="B616" s="9">
        <v>45787</v>
      </c>
      <c r="C616">
        <v>6</v>
      </c>
      <c r="D616">
        <v>32</v>
      </c>
      <c r="E616">
        <v>58</v>
      </c>
      <c r="F616">
        <v>1</v>
      </c>
      <c r="G616">
        <v>64.400000000000006</v>
      </c>
      <c r="H616">
        <v>0</v>
      </c>
      <c r="I616">
        <v>64.400000000000006</v>
      </c>
    </row>
    <row r="617" spans="1:9" x14ac:dyDescent="0.25">
      <c r="A617">
        <v>616</v>
      </c>
      <c r="B617" s="9">
        <v>45710</v>
      </c>
      <c r="C617">
        <v>8</v>
      </c>
      <c r="D617">
        <v>202</v>
      </c>
      <c r="E617">
        <v>41</v>
      </c>
      <c r="F617">
        <v>2</v>
      </c>
      <c r="G617">
        <v>45.5</v>
      </c>
      <c r="H617">
        <v>0.15</v>
      </c>
      <c r="I617">
        <v>77.349999999999994</v>
      </c>
    </row>
    <row r="618" spans="1:9" x14ac:dyDescent="0.25">
      <c r="A618">
        <v>617</v>
      </c>
      <c r="B618" s="9">
        <v>45700</v>
      </c>
      <c r="C618">
        <v>7</v>
      </c>
      <c r="D618">
        <v>110</v>
      </c>
      <c r="E618">
        <v>61</v>
      </c>
      <c r="F618">
        <v>1</v>
      </c>
      <c r="G618">
        <v>106.64</v>
      </c>
      <c r="H618">
        <v>0.2</v>
      </c>
      <c r="I618">
        <v>85.31</v>
      </c>
    </row>
    <row r="619" spans="1:9" x14ac:dyDescent="0.25">
      <c r="A619">
        <v>618</v>
      </c>
      <c r="B619" s="9">
        <v>45091</v>
      </c>
      <c r="C619">
        <v>3</v>
      </c>
      <c r="D619">
        <v>156</v>
      </c>
      <c r="E619">
        <v>77</v>
      </c>
      <c r="F619">
        <v>2</v>
      </c>
      <c r="G619">
        <v>226.88</v>
      </c>
      <c r="H619">
        <v>0.1</v>
      </c>
      <c r="I619">
        <v>408.38</v>
      </c>
    </row>
    <row r="620" spans="1:9" x14ac:dyDescent="0.25">
      <c r="A620">
        <v>619</v>
      </c>
      <c r="B620" s="9">
        <v>45639</v>
      </c>
      <c r="C620">
        <v>2</v>
      </c>
      <c r="D620">
        <v>214</v>
      </c>
      <c r="E620">
        <v>3</v>
      </c>
      <c r="F620">
        <v>2</v>
      </c>
      <c r="G620">
        <v>190.58</v>
      </c>
      <c r="H620">
        <v>0</v>
      </c>
      <c r="I620">
        <v>381.16</v>
      </c>
    </row>
    <row r="621" spans="1:9" x14ac:dyDescent="0.25">
      <c r="A621">
        <v>620</v>
      </c>
      <c r="B621" s="9">
        <v>45292</v>
      </c>
      <c r="C621">
        <v>7</v>
      </c>
      <c r="D621">
        <v>156</v>
      </c>
      <c r="E621">
        <v>11</v>
      </c>
      <c r="F621">
        <v>2</v>
      </c>
      <c r="G621">
        <v>11.53</v>
      </c>
      <c r="H621">
        <v>0.05</v>
      </c>
      <c r="I621">
        <v>21.91</v>
      </c>
    </row>
    <row r="622" spans="1:9" x14ac:dyDescent="0.25">
      <c r="A622">
        <v>621</v>
      </c>
      <c r="B622" s="9">
        <v>45187</v>
      </c>
      <c r="C622">
        <v>4</v>
      </c>
      <c r="D622">
        <v>5</v>
      </c>
      <c r="E622">
        <v>31</v>
      </c>
      <c r="F622">
        <v>2</v>
      </c>
      <c r="G622">
        <v>165.45</v>
      </c>
      <c r="H622">
        <v>0.05</v>
      </c>
      <c r="I622">
        <v>314.35000000000002</v>
      </c>
    </row>
    <row r="623" spans="1:9" x14ac:dyDescent="0.25">
      <c r="A623">
        <v>622</v>
      </c>
      <c r="B623" s="9">
        <v>44934</v>
      </c>
      <c r="C623">
        <v>1</v>
      </c>
      <c r="D623">
        <v>18</v>
      </c>
      <c r="E623">
        <v>6</v>
      </c>
      <c r="F623">
        <v>1</v>
      </c>
      <c r="G623">
        <v>44.63</v>
      </c>
      <c r="H623">
        <v>0.05</v>
      </c>
      <c r="I623">
        <v>42.4</v>
      </c>
    </row>
    <row r="624" spans="1:9" x14ac:dyDescent="0.25">
      <c r="A624">
        <v>623</v>
      </c>
      <c r="B624" s="9">
        <v>45538</v>
      </c>
      <c r="C624">
        <v>8</v>
      </c>
      <c r="D624">
        <v>3</v>
      </c>
      <c r="E624">
        <v>8</v>
      </c>
      <c r="F624">
        <v>1</v>
      </c>
      <c r="G624">
        <v>259.11</v>
      </c>
      <c r="H624">
        <v>0</v>
      </c>
      <c r="I624">
        <v>259.11</v>
      </c>
    </row>
    <row r="625" spans="1:9" x14ac:dyDescent="0.25">
      <c r="A625">
        <v>624</v>
      </c>
      <c r="B625" s="9">
        <v>45795</v>
      </c>
      <c r="C625">
        <v>7</v>
      </c>
      <c r="D625">
        <v>170</v>
      </c>
      <c r="E625">
        <v>41</v>
      </c>
      <c r="F625">
        <v>1</v>
      </c>
      <c r="G625">
        <v>45.5</v>
      </c>
      <c r="H625">
        <v>0</v>
      </c>
      <c r="I625">
        <v>45.5</v>
      </c>
    </row>
    <row r="626" spans="1:9" x14ac:dyDescent="0.25">
      <c r="A626">
        <v>625</v>
      </c>
      <c r="B626" s="9">
        <v>45397</v>
      </c>
      <c r="C626">
        <v>4</v>
      </c>
      <c r="D626">
        <v>130</v>
      </c>
      <c r="E626">
        <v>23</v>
      </c>
      <c r="F626">
        <v>1</v>
      </c>
      <c r="G626">
        <v>79.94</v>
      </c>
      <c r="H626">
        <v>0</v>
      </c>
      <c r="I626">
        <v>79.94</v>
      </c>
    </row>
    <row r="627" spans="1:9" x14ac:dyDescent="0.25">
      <c r="A627">
        <v>626</v>
      </c>
      <c r="B627" s="9">
        <v>45870</v>
      </c>
      <c r="C627">
        <v>6</v>
      </c>
      <c r="D627">
        <v>216</v>
      </c>
      <c r="E627">
        <v>34</v>
      </c>
      <c r="F627">
        <v>1</v>
      </c>
      <c r="G627">
        <v>247.04</v>
      </c>
      <c r="H627">
        <v>0.1</v>
      </c>
      <c r="I627">
        <v>222.34</v>
      </c>
    </row>
    <row r="628" spans="1:9" x14ac:dyDescent="0.25">
      <c r="A628">
        <v>627</v>
      </c>
      <c r="B628" s="9">
        <v>45244</v>
      </c>
      <c r="C628">
        <v>5</v>
      </c>
      <c r="D628">
        <v>122</v>
      </c>
      <c r="E628">
        <v>74</v>
      </c>
      <c r="F628">
        <v>1</v>
      </c>
      <c r="G628">
        <v>205.01</v>
      </c>
      <c r="H628">
        <v>0</v>
      </c>
      <c r="I628">
        <v>205.01</v>
      </c>
    </row>
    <row r="629" spans="1:9" x14ac:dyDescent="0.25">
      <c r="A629">
        <v>628</v>
      </c>
      <c r="B629" s="9">
        <v>45313</v>
      </c>
      <c r="C629">
        <v>2</v>
      </c>
      <c r="D629">
        <v>88</v>
      </c>
      <c r="E629">
        <v>20</v>
      </c>
      <c r="F629">
        <v>1</v>
      </c>
      <c r="G629">
        <v>85.89</v>
      </c>
      <c r="H629">
        <v>0.1</v>
      </c>
      <c r="I629">
        <v>77.3</v>
      </c>
    </row>
    <row r="630" spans="1:9" x14ac:dyDescent="0.25">
      <c r="A630">
        <v>629</v>
      </c>
      <c r="B630" s="9">
        <v>44992</v>
      </c>
      <c r="C630">
        <v>7</v>
      </c>
      <c r="D630">
        <v>48</v>
      </c>
      <c r="E630">
        <v>79</v>
      </c>
      <c r="F630">
        <v>1</v>
      </c>
      <c r="G630">
        <v>117.59</v>
      </c>
      <c r="H630">
        <v>0.05</v>
      </c>
      <c r="I630">
        <v>111.71</v>
      </c>
    </row>
    <row r="631" spans="1:9" x14ac:dyDescent="0.25">
      <c r="A631">
        <v>630</v>
      </c>
      <c r="B631" s="9">
        <v>44959</v>
      </c>
      <c r="C631">
        <v>4</v>
      </c>
      <c r="D631">
        <v>150</v>
      </c>
      <c r="E631">
        <v>81</v>
      </c>
      <c r="F631">
        <v>3</v>
      </c>
      <c r="G631">
        <v>225.3</v>
      </c>
      <c r="H631">
        <v>0.2</v>
      </c>
      <c r="I631">
        <v>540.72</v>
      </c>
    </row>
    <row r="632" spans="1:9" x14ac:dyDescent="0.25">
      <c r="A632">
        <v>631</v>
      </c>
      <c r="B632" s="9">
        <v>45349</v>
      </c>
      <c r="C632">
        <v>2</v>
      </c>
      <c r="D632">
        <v>18</v>
      </c>
      <c r="E632">
        <v>69</v>
      </c>
      <c r="F632">
        <v>1</v>
      </c>
      <c r="G632">
        <v>22.86</v>
      </c>
      <c r="H632">
        <v>0</v>
      </c>
      <c r="I632">
        <v>22.86</v>
      </c>
    </row>
    <row r="633" spans="1:9" x14ac:dyDescent="0.25">
      <c r="A633">
        <v>632</v>
      </c>
      <c r="B633" s="9">
        <v>45133</v>
      </c>
      <c r="C633">
        <v>1</v>
      </c>
      <c r="D633">
        <v>119</v>
      </c>
      <c r="E633">
        <v>90</v>
      </c>
      <c r="F633">
        <v>1</v>
      </c>
      <c r="G633">
        <v>122.32</v>
      </c>
      <c r="H633">
        <v>0</v>
      </c>
      <c r="I633">
        <v>122.32</v>
      </c>
    </row>
    <row r="634" spans="1:9" x14ac:dyDescent="0.25">
      <c r="A634">
        <v>633</v>
      </c>
      <c r="B634" s="9">
        <v>45841</v>
      </c>
      <c r="C634">
        <v>1</v>
      </c>
      <c r="D634">
        <v>211</v>
      </c>
      <c r="E634">
        <v>45</v>
      </c>
      <c r="F634">
        <v>1</v>
      </c>
      <c r="G634">
        <v>70.989999999999995</v>
      </c>
      <c r="H634">
        <v>0</v>
      </c>
      <c r="I634">
        <v>70.989999999999995</v>
      </c>
    </row>
    <row r="635" spans="1:9" x14ac:dyDescent="0.25">
      <c r="A635">
        <v>634</v>
      </c>
      <c r="B635" s="9">
        <v>45428</v>
      </c>
      <c r="C635">
        <v>1</v>
      </c>
      <c r="D635">
        <v>23</v>
      </c>
      <c r="E635">
        <v>79</v>
      </c>
      <c r="F635">
        <v>1</v>
      </c>
      <c r="G635">
        <v>117.59</v>
      </c>
      <c r="H635">
        <v>0</v>
      </c>
      <c r="I635">
        <v>117.59</v>
      </c>
    </row>
    <row r="636" spans="1:9" x14ac:dyDescent="0.25">
      <c r="A636">
        <v>635</v>
      </c>
      <c r="B636" s="9">
        <v>45750</v>
      </c>
      <c r="C636">
        <v>8</v>
      </c>
      <c r="D636">
        <v>95</v>
      </c>
      <c r="E636">
        <v>56</v>
      </c>
      <c r="F636">
        <v>1</v>
      </c>
      <c r="G636">
        <v>232.81</v>
      </c>
      <c r="H636">
        <v>0.05</v>
      </c>
      <c r="I636">
        <v>221.17</v>
      </c>
    </row>
    <row r="637" spans="1:9" x14ac:dyDescent="0.25">
      <c r="A637">
        <v>636</v>
      </c>
      <c r="B637" s="9">
        <v>45406</v>
      </c>
      <c r="C637">
        <v>4</v>
      </c>
      <c r="D637">
        <v>189</v>
      </c>
      <c r="E637">
        <v>73</v>
      </c>
      <c r="F637">
        <v>1</v>
      </c>
      <c r="G637">
        <v>8.39</v>
      </c>
      <c r="H637">
        <v>0</v>
      </c>
      <c r="I637">
        <v>8.39</v>
      </c>
    </row>
    <row r="638" spans="1:9" x14ac:dyDescent="0.25">
      <c r="A638">
        <v>637</v>
      </c>
      <c r="B638" s="9">
        <v>45042</v>
      </c>
      <c r="C638">
        <v>3</v>
      </c>
      <c r="D638">
        <v>218</v>
      </c>
      <c r="E638">
        <v>90</v>
      </c>
      <c r="F638">
        <v>2</v>
      </c>
      <c r="G638">
        <v>122.32</v>
      </c>
      <c r="H638">
        <v>0</v>
      </c>
      <c r="I638">
        <v>244.64</v>
      </c>
    </row>
    <row r="639" spans="1:9" x14ac:dyDescent="0.25">
      <c r="A639">
        <v>638</v>
      </c>
      <c r="B639" s="9">
        <v>45958</v>
      </c>
      <c r="C639">
        <v>5</v>
      </c>
      <c r="D639">
        <v>94</v>
      </c>
      <c r="E639">
        <v>85</v>
      </c>
      <c r="F639">
        <v>2</v>
      </c>
      <c r="G639">
        <v>83.36</v>
      </c>
      <c r="H639">
        <v>0</v>
      </c>
      <c r="I639">
        <v>166.72</v>
      </c>
    </row>
    <row r="640" spans="1:9" x14ac:dyDescent="0.25">
      <c r="A640">
        <v>639</v>
      </c>
      <c r="B640" s="9">
        <v>45406</v>
      </c>
      <c r="C640">
        <v>6</v>
      </c>
      <c r="D640">
        <v>125</v>
      </c>
      <c r="E640">
        <v>38</v>
      </c>
      <c r="F640">
        <v>1</v>
      </c>
      <c r="G640">
        <v>35.35</v>
      </c>
      <c r="H640">
        <v>0</v>
      </c>
      <c r="I640">
        <v>35.35</v>
      </c>
    </row>
    <row r="641" spans="1:9" x14ac:dyDescent="0.25">
      <c r="A641">
        <v>640</v>
      </c>
      <c r="B641" s="9">
        <v>45583</v>
      </c>
      <c r="C641">
        <v>4</v>
      </c>
      <c r="D641">
        <v>12</v>
      </c>
      <c r="E641">
        <v>59</v>
      </c>
      <c r="F641">
        <v>1</v>
      </c>
      <c r="G641">
        <v>17.41</v>
      </c>
      <c r="H641">
        <v>0.05</v>
      </c>
      <c r="I641">
        <v>16.54</v>
      </c>
    </row>
    <row r="642" spans="1:9" x14ac:dyDescent="0.25">
      <c r="A642">
        <v>641</v>
      </c>
      <c r="B642" s="9">
        <v>45545</v>
      </c>
      <c r="C642">
        <v>3</v>
      </c>
      <c r="D642">
        <v>117</v>
      </c>
      <c r="E642">
        <v>16</v>
      </c>
      <c r="F642">
        <v>1</v>
      </c>
      <c r="G642">
        <v>62.77</v>
      </c>
      <c r="H642">
        <v>0.05</v>
      </c>
      <c r="I642">
        <v>59.63</v>
      </c>
    </row>
    <row r="643" spans="1:9" x14ac:dyDescent="0.25">
      <c r="A643">
        <v>642</v>
      </c>
      <c r="B643" s="9">
        <v>45379</v>
      </c>
      <c r="C643">
        <v>7</v>
      </c>
      <c r="D643">
        <v>208</v>
      </c>
      <c r="E643">
        <v>15</v>
      </c>
      <c r="F643">
        <v>1</v>
      </c>
      <c r="G643">
        <v>58.26</v>
      </c>
      <c r="H643">
        <v>0</v>
      </c>
      <c r="I643">
        <v>58.26</v>
      </c>
    </row>
    <row r="644" spans="1:9" x14ac:dyDescent="0.25">
      <c r="A644">
        <v>643</v>
      </c>
      <c r="B644" s="9">
        <v>45542</v>
      </c>
      <c r="C644">
        <v>5</v>
      </c>
      <c r="D644">
        <v>55</v>
      </c>
      <c r="E644">
        <v>27</v>
      </c>
      <c r="F644">
        <v>1</v>
      </c>
      <c r="G644">
        <v>66.790000000000006</v>
      </c>
      <c r="H644">
        <v>0.05</v>
      </c>
      <c r="I644">
        <v>63.45</v>
      </c>
    </row>
    <row r="645" spans="1:9" x14ac:dyDescent="0.25">
      <c r="A645">
        <v>644</v>
      </c>
      <c r="B645" s="9">
        <v>45051</v>
      </c>
      <c r="C645">
        <v>3</v>
      </c>
      <c r="D645">
        <v>191</v>
      </c>
      <c r="E645">
        <v>79</v>
      </c>
      <c r="F645">
        <v>2</v>
      </c>
      <c r="G645">
        <v>117.59</v>
      </c>
      <c r="H645">
        <v>0.1</v>
      </c>
      <c r="I645">
        <v>211.66</v>
      </c>
    </row>
    <row r="646" spans="1:9" x14ac:dyDescent="0.25">
      <c r="A646">
        <v>645</v>
      </c>
      <c r="B646" s="9">
        <v>45801</v>
      </c>
      <c r="C646">
        <v>8</v>
      </c>
      <c r="D646">
        <v>33</v>
      </c>
      <c r="E646">
        <v>51</v>
      </c>
      <c r="F646">
        <v>1</v>
      </c>
      <c r="G646">
        <v>302.75</v>
      </c>
      <c r="H646">
        <v>0.05</v>
      </c>
      <c r="I646">
        <v>287.61</v>
      </c>
    </row>
    <row r="647" spans="1:9" x14ac:dyDescent="0.25">
      <c r="A647">
        <v>646</v>
      </c>
      <c r="B647" s="9">
        <v>45023</v>
      </c>
      <c r="C647">
        <v>6</v>
      </c>
      <c r="D647">
        <v>201</v>
      </c>
      <c r="E647">
        <v>52</v>
      </c>
      <c r="F647">
        <v>1</v>
      </c>
      <c r="G647">
        <v>196.75</v>
      </c>
      <c r="H647">
        <v>0.05</v>
      </c>
      <c r="I647">
        <v>186.91</v>
      </c>
    </row>
    <row r="648" spans="1:9" x14ac:dyDescent="0.25">
      <c r="A648">
        <v>647</v>
      </c>
      <c r="B648" s="9">
        <v>45707</v>
      </c>
      <c r="C648">
        <v>6</v>
      </c>
      <c r="D648">
        <v>184</v>
      </c>
      <c r="E648">
        <v>38</v>
      </c>
      <c r="F648">
        <v>1</v>
      </c>
      <c r="G648">
        <v>35.35</v>
      </c>
      <c r="H648">
        <v>0</v>
      </c>
      <c r="I648">
        <v>35.35</v>
      </c>
    </row>
    <row r="649" spans="1:9" x14ac:dyDescent="0.25">
      <c r="A649">
        <v>648</v>
      </c>
      <c r="B649" s="9">
        <v>45779</v>
      </c>
      <c r="C649">
        <v>7</v>
      </c>
      <c r="D649">
        <v>16</v>
      </c>
      <c r="E649">
        <v>70</v>
      </c>
      <c r="F649">
        <v>4</v>
      </c>
      <c r="G649">
        <v>280.36</v>
      </c>
      <c r="H649">
        <v>0.05</v>
      </c>
      <c r="I649">
        <v>1065.3699999999999</v>
      </c>
    </row>
    <row r="650" spans="1:9" x14ac:dyDescent="0.25">
      <c r="A650">
        <v>649</v>
      </c>
      <c r="B650" s="9">
        <v>45232</v>
      </c>
      <c r="C650">
        <v>5</v>
      </c>
      <c r="D650">
        <v>152</v>
      </c>
      <c r="E650">
        <v>97</v>
      </c>
      <c r="F650">
        <v>2</v>
      </c>
      <c r="G650">
        <v>158.26</v>
      </c>
      <c r="H650">
        <v>0</v>
      </c>
      <c r="I650">
        <v>316.52</v>
      </c>
    </row>
    <row r="651" spans="1:9" x14ac:dyDescent="0.25">
      <c r="A651">
        <v>650</v>
      </c>
      <c r="B651" s="9">
        <v>45697</v>
      </c>
      <c r="C651">
        <v>3</v>
      </c>
      <c r="D651">
        <v>44</v>
      </c>
      <c r="E651">
        <v>78</v>
      </c>
      <c r="F651">
        <v>1</v>
      </c>
      <c r="G651">
        <v>25.66</v>
      </c>
      <c r="H651">
        <v>0.1</v>
      </c>
      <c r="I651">
        <v>23.09</v>
      </c>
    </row>
    <row r="652" spans="1:9" x14ac:dyDescent="0.25">
      <c r="A652">
        <v>651</v>
      </c>
      <c r="B652" s="9">
        <v>45896</v>
      </c>
      <c r="C652">
        <v>4</v>
      </c>
      <c r="D652">
        <v>177</v>
      </c>
      <c r="E652">
        <v>81</v>
      </c>
      <c r="F652">
        <v>1</v>
      </c>
      <c r="G652">
        <v>225.3</v>
      </c>
      <c r="H652">
        <v>0</v>
      </c>
      <c r="I652">
        <v>225.3</v>
      </c>
    </row>
    <row r="653" spans="1:9" x14ac:dyDescent="0.25">
      <c r="A653">
        <v>652</v>
      </c>
      <c r="B653" s="9">
        <v>45388</v>
      </c>
      <c r="C653">
        <v>5</v>
      </c>
      <c r="D653">
        <v>16</v>
      </c>
      <c r="E653">
        <v>53</v>
      </c>
      <c r="F653">
        <v>2</v>
      </c>
      <c r="G653">
        <v>229.6</v>
      </c>
      <c r="H653">
        <v>0</v>
      </c>
      <c r="I653">
        <v>459.2</v>
      </c>
    </row>
    <row r="654" spans="1:9" x14ac:dyDescent="0.25">
      <c r="A654">
        <v>653</v>
      </c>
      <c r="B654" s="9">
        <v>45222</v>
      </c>
      <c r="C654">
        <v>8</v>
      </c>
      <c r="D654">
        <v>39</v>
      </c>
      <c r="E654">
        <v>27</v>
      </c>
      <c r="F654">
        <v>3</v>
      </c>
      <c r="G654">
        <v>66.790000000000006</v>
      </c>
      <c r="H654">
        <v>0.1</v>
      </c>
      <c r="I654">
        <v>180.33</v>
      </c>
    </row>
    <row r="655" spans="1:9" x14ac:dyDescent="0.25">
      <c r="A655">
        <v>654</v>
      </c>
      <c r="B655" s="9">
        <v>45045</v>
      </c>
      <c r="C655">
        <v>7</v>
      </c>
      <c r="D655">
        <v>77</v>
      </c>
      <c r="E655">
        <v>42</v>
      </c>
      <c r="F655">
        <v>1</v>
      </c>
      <c r="G655">
        <v>127.97</v>
      </c>
      <c r="H655">
        <v>0</v>
      </c>
      <c r="I655">
        <v>127.97</v>
      </c>
    </row>
    <row r="656" spans="1:9" x14ac:dyDescent="0.25">
      <c r="A656">
        <v>655</v>
      </c>
      <c r="B656" s="9">
        <v>45780</v>
      </c>
      <c r="C656">
        <v>3</v>
      </c>
      <c r="D656">
        <v>162</v>
      </c>
      <c r="E656">
        <v>47</v>
      </c>
      <c r="F656">
        <v>1</v>
      </c>
      <c r="G656">
        <v>93.41</v>
      </c>
      <c r="H656">
        <v>0.2</v>
      </c>
      <c r="I656">
        <v>74.73</v>
      </c>
    </row>
    <row r="657" spans="1:9" x14ac:dyDescent="0.25">
      <c r="A657">
        <v>656</v>
      </c>
      <c r="B657" s="9">
        <v>45722</v>
      </c>
      <c r="C657">
        <v>4</v>
      </c>
      <c r="D657">
        <v>219</v>
      </c>
      <c r="E657">
        <v>39</v>
      </c>
      <c r="F657">
        <v>1</v>
      </c>
      <c r="G657">
        <v>181.34</v>
      </c>
      <c r="H657">
        <v>0</v>
      </c>
      <c r="I657">
        <v>181.34</v>
      </c>
    </row>
    <row r="658" spans="1:9" x14ac:dyDescent="0.25">
      <c r="A658">
        <v>657</v>
      </c>
      <c r="B658" s="9">
        <v>45449</v>
      </c>
      <c r="C658">
        <v>4</v>
      </c>
      <c r="D658">
        <v>131</v>
      </c>
      <c r="E658">
        <v>27</v>
      </c>
      <c r="F658">
        <v>2</v>
      </c>
      <c r="G658">
        <v>66.790000000000006</v>
      </c>
      <c r="H658">
        <v>0</v>
      </c>
      <c r="I658">
        <v>133.58000000000001</v>
      </c>
    </row>
    <row r="659" spans="1:9" x14ac:dyDescent="0.25">
      <c r="A659">
        <v>658</v>
      </c>
      <c r="B659" s="9">
        <v>45603</v>
      </c>
      <c r="C659">
        <v>2</v>
      </c>
      <c r="D659">
        <v>180</v>
      </c>
      <c r="E659">
        <v>81</v>
      </c>
      <c r="F659">
        <v>1</v>
      </c>
      <c r="G659">
        <v>225.3</v>
      </c>
      <c r="H659">
        <v>0</v>
      </c>
      <c r="I659">
        <v>225.3</v>
      </c>
    </row>
    <row r="660" spans="1:9" x14ac:dyDescent="0.25">
      <c r="A660">
        <v>659</v>
      </c>
      <c r="B660" s="9">
        <v>45848</v>
      </c>
      <c r="C660">
        <v>6</v>
      </c>
      <c r="D660">
        <v>200</v>
      </c>
      <c r="E660">
        <v>39</v>
      </c>
      <c r="F660">
        <v>1</v>
      </c>
      <c r="G660">
        <v>181.34</v>
      </c>
      <c r="H660">
        <v>0</v>
      </c>
      <c r="I660">
        <v>181.34</v>
      </c>
    </row>
    <row r="661" spans="1:9" x14ac:dyDescent="0.25">
      <c r="A661">
        <v>660</v>
      </c>
      <c r="B661" s="9">
        <v>45116</v>
      </c>
      <c r="C661">
        <v>4</v>
      </c>
      <c r="D661">
        <v>101</v>
      </c>
      <c r="E661">
        <v>44</v>
      </c>
      <c r="F661">
        <v>1</v>
      </c>
      <c r="G661">
        <v>235.19</v>
      </c>
      <c r="H661">
        <v>0.05</v>
      </c>
      <c r="I661">
        <v>223.43</v>
      </c>
    </row>
    <row r="662" spans="1:9" x14ac:dyDescent="0.25">
      <c r="A662">
        <v>661</v>
      </c>
      <c r="B662" s="9">
        <v>45032</v>
      </c>
      <c r="C662">
        <v>5</v>
      </c>
      <c r="D662">
        <v>187</v>
      </c>
      <c r="E662">
        <v>73</v>
      </c>
      <c r="F662">
        <v>1</v>
      </c>
      <c r="G662">
        <v>8.39</v>
      </c>
      <c r="H662">
        <v>0.1</v>
      </c>
      <c r="I662">
        <v>7.55</v>
      </c>
    </row>
    <row r="663" spans="1:9" x14ac:dyDescent="0.25">
      <c r="A663">
        <v>662</v>
      </c>
      <c r="B663" s="9">
        <v>45699</v>
      </c>
      <c r="C663">
        <v>1</v>
      </c>
      <c r="D663">
        <v>112</v>
      </c>
      <c r="E663">
        <v>85</v>
      </c>
      <c r="F663">
        <v>1</v>
      </c>
      <c r="G663">
        <v>83.36</v>
      </c>
      <c r="H663">
        <v>0.15</v>
      </c>
      <c r="I663">
        <v>70.86</v>
      </c>
    </row>
    <row r="664" spans="1:9" x14ac:dyDescent="0.25">
      <c r="A664">
        <v>663</v>
      </c>
      <c r="B664" s="9">
        <v>45076</v>
      </c>
      <c r="C664">
        <v>4</v>
      </c>
      <c r="D664">
        <v>73</v>
      </c>
      <c r="E664">
        <v>67</v>
      </c>
      <c r="F664">
        <v>2</v>
      </c>
      <c r="G664">
        <v>41.9</v>
      </c>
      <c r="H664">
        <v>0.1</v>
      </c>
      <c r="I664">
        <v>75.42</v>
      </c>
    </row>
    <row r="665" spans="1:9" x14ac:dyDescent="0.25">
      <c r="A665">
        <v>664</v>
      </c>
      <c r="B665" s="9">
        <v>45371</v>
      </c>
      <c r="C665">
        <v>8</v>
      </c>
      <c r="D665">
        <v>196</v>
      </c>
      <c r="E665">
        <v>55</v>
      </c>
      <c r="F665">
        <v>3</v>
      </c>
      <c r="G665">
        <v>193.33</v>
      </c>
      <c r="H665">
        <v>0.05</v>
      </c>
      <c r="I665">
        <v>550.99</v>
      </c>
    </row>
    <row r="666" spans="1:9" x14ac:dyDescent="0.25">
      <c r="A666">
        <v>665</v>
      </c>
      <c r="B666" s="9">
        <v>45354</v>
      </c>
      <c r="C666">
        <v>6</v>
      </c>
      <c r="D666">
        <v>7</v>
      </c>
      <c r="E666">
        <v>78</v>
      </c>
      <c r="F666">
        <v>3</v>
      </c>
      <c r="G666">
        <v>25.66</v>
      </c>
      <c r="H666">
        <v>0.15</v>
      </c>
      <c r="I666">
        <v>65.430000000000007</v>
      </c>
    </row>
    <row r="667" spans="1:9" x14ac:dyDescent="0.25">
      <c r="A667">
        <v>666</v>
      </c>
      <c r="B667" s="9">
        <v>45547</v>
      </c>
      <c r="C667">
        <v>1</v>
      </c>
      <c r="D667">
        <v>77</v>
      </c>
      <c r="E667">
        <v>88</v>
      </c>
      <c r="F667">
        <v>4</v>
      </c>
      <c r="G667">
        <v>181.05</v>
      </c>
      <c r="H667">
        <v>0</v>
      </c>
      <c r="I667">
        <v>724.2</v>
      </c>
    </row>
    <row r="668" spans="1:9" x14ac:dyDescent="0.25">
      <c r="A668">
        <v>667</v>
      </c>
      <c r="B668" s="9">
        <v>45360</v>
      </c>
      <c r="C668">
        <v>4</v>
      </c>
      <c r="D668">
        <v>175</v>
      </c>
      <c r="E668">
        <v>70</v>
      </c>
      <c r="F668">
        <v>1</v>
      </c>
      <c r="G668">
        <v>280.36</v>
      </c>
      <c r="H668">
        <v>0</v>
      </c>
      <c r="I668">
        <v>280.36</v>
      </c>
    </row>
    <row r="669" spans="1:9" x14ac:dyDescent="0.25">
      <c r="A669">
        <v>668</v>
      </c>
      <c r="B669" s="9">
        <v>45167</v>
      </c>
      <c r="C669">
        <v>8</v>
      </c>
      <c r="D669">
        <v>144</v>
      </c>
      <c r="E669">
        <v>2</v>
      </c>
      <c r="F669">
        <v>1</v>
      </c>
      <c r="G669">
        <v>274.16000000000003</v>
      </c>
      <c r="H669">
        <v>0.05</v>
      </c>
      <c r="I669">
        <v>260.45</v>
      </c>
    </row>
    <row r="670" spans="1:9" x14ac:dyDescent="0.25">
      <c r="A670">
        <v>669</v>
      </c>
      <c r="B670" s="9">
        <v>45423</v>
      </c>
      <c r="C670">
        <v>4</v>
      </c>
      <c r="D670">
        <v>145</v>
      </c>
      <c r="E670">
        <v>5</v>
      </c>
      <c r="F670">
        <v>1</v>
      </c>
      <c r="G670">
        <v>55.26</v>
      </c>
      <c r="H670">
        <v>0</v>
      </c>
      <c r="I670">
        <v>55.26</v>
      </c>
    </row>
    <row r="671" spans="1:9" x14ac:dyDescent="0.25">
      <c r="A671">
        <v>670</v>
      </c>
      <c r="B671" s="9">
        <v>45739</v>
      </c>
      <c r="C671">
        <v>4</v>
      </c>
      <c r="D671">
        <v>77</v>
      </c>
      <c r="E671">
        <v>41</v>
      </c>
      <c r="F671">
        <v>1</v>
      </c>
      <c r="G671">
        <v>45.5</v>
      </c>
      <c r="H671">
        <v>0.05</v>
      </c>
      <c r="I671">
        <v>43.23</v>
      </c>
    </row>
    <row r="672" spans="1:9" x14ac:dyDescent="0.25">
      <c r="A672">
        <v>671</v>
      </c>
      <c r="B672" s="9">
        <v>45585</v>
      </c>
      <c r="C672">
        <v>5</v>
      </c>
      <c r="D672">
        <v>55</v>
      </c>
      <c r="E672">
        <v>48</v>
      </c>
      <c r="F672">
        <v>1</v>
      </c>
      <c r="G672">
        <v>146.85</v>
      </c>
      <c r="H672">
        <v>0</v>
      </c>
      <c r="I672">
        <v>146.85</v>
      </c>
    </row>
    <row r="673" spans="1:9" x14ac:dyDescent="0.25">
      <c r="A673">
        <v>672</v>
      </c>
      <c r="B673" s="9">
        <v>45706</v>
      </c>
      <c r="C673">
        <v>8</v>
      </c>
      <c r="D673">
        <v>214</v>
      </c>
      <c r="E673">
        <v>40</v>
      </c>
      <c r="F673">
        <v>2</v>
      </c>
      <c r="G673">
        <v>144.41999999999999</v>
      </c>
      <c r="H673">
        <v>0</v>
      </c>
      <c r="I673">
        <v>288.83999999999997</v>
      </c>
    </row>
    <row r="674" spans="1:9" x14ac:dyDescent="0.25">
      <c r="A674">
        <v>673</v>
      </c>
      <c r="B674" s="9">
        <v>45662</v>
      </c>
      <c r="C674">
        <v>5</v>
      </c>
      <c r="D674">
        <v>40</v>
      </c>
      <c r="E674">
        <v>99</v>
      </c>
      <c r="F674">
        <v>1</v>
      </c>
      <c r="G674">
        <v>15.44</v>
      </c>
      <c r="H674">
        <v>0</v>
      </c>
      <c r="I674">
        <v>15.44</v>
      </c>
    </row>
    <row r="675" spans="1:9" x14ac:dyDescent="0.25">
      <c r="A675">
        <v>674</v>
      </c>
      <c r="B675" s="9">
        <v>45462</v>
      </c>
      <c r="C675">
        <v>6</v>
      </c>
      <c r="D675">
        <v>43</v>
      </c>
      <c r="E675">
        <v>89</v>
      </c>
      <c r="F675">
        <v>1</v>
      </c>
      <c r="G675">
        <v>247.43</v>
      </c>
      <c r="H675">
        <v>0</v>
      </c>
      <c r="I675">
        <v>247.43</v>
      </c>
    </row>
    <row r="676" spans="1:9" x14ac:dyDescent="0.25">
      <c r="A676">
        <v>675</v>
      </c>
      <c r="B676" s="9">
        <v>45945</v>
      </c>
      <c r="C676">
        <v>8</v>
      </c>
      <c r="D676">
        <v>163</v>
      </c>
      <c r="E676">
        <v>30</v>
      </c>
      <c r="F676">
        <v>1</v>
      </c>
      <c r="G676">
        <v>19.399999999999999</v>
      </c>
      <c r="H676">
        <v>0</v>
      </c>
      <c r="I676">
        <v>19.399999999999999</v>
      </c>
    </row>
    <row r="677" spans="1:9" x14ac:dyDescent="0.25">
      <c r="A677">
        <v>676</v>
      </c>
      <c r="B677" s="9">
        <v>45128</v>
      </c>
      <c r="C677">
        <v>8</v>
      </c>
      <c r="D677">
        <v>68</v>
      </c>
      <c r="E677">
        <v>12</v>
      </c>
      <c r="F677">
        <v>1</v>
      </c>
      <c r="G677">
        <v>236.84</v>
      </c>
      <c r="H677">
        <v>0.1</v>
      </c>
      <c r="I677">
        <v>213.16</v>
      </c>
    </row>
    <row r="678" spans="1:9" x14ac:dyDescent="0.25">
      <c r="A678">
        <v>677</v>
      </c>
      <c r="B678" s="9">
        <v>45582</v>
      </c>
      <c r="C678">
        <v>4</v>
      </c>
      <c r="D678">
        <v>135</v>
      </c>
      <c r="E678">
        <v>40</v>
      </c>
      <c r="F678">
        <v>2</v>
      </c>
      <c r="G678">
        <v>144.41999999999999</v>
      </c>
      <c r="H678">
        <v>0.1</v>
      </c>
      <c r="I678">
        <v>259.95999999999998</v>
      </c>
    </row>
    <row r="679" spans="1:9" x14ac:dyDescent="0.25">
      <c r="A679">
        <v>678</v>
      </c>
      <c r="B679" s="9">
        <v>45686</v>
      </c>
      <c r="C679">
        <v>6</v>
      </c>
      <c r="D679">
        <v>123</v>
      </c>
      <c r="E679">
        <v>63</v>
      </c>
      <c r="F679">
        <v>1</v>
      </c>
      <c r="G679">
        <v>239.9</v>
      </c>
      <c r="H679">
        <v>0</v>
      </c>
      <c r="I679">
        <v>239.9</v>
      </c>
    </row>
    <row r="680" spans="1:9" x14ac:dyDescent="0.25">
      <c r="A680">
        <v>679</v>
      </c>
      <c r="B680" s="9">
        <v>45774</v>
      </c>
      <c r="C680">
        <v>1</v>
      </c>
      <c r="D680">
        <v>74</v>
      </c>
      <c r="E680">
        <v>51</v>
      </c>
      <c r="F680">
        <v>1</v>
      </c>
      <c r="G680">
        <v>302.75</v>
      </c>
      <c r="H680">
        <v>0</v>
      </c>
      <c r="I680">
        <v>302.75</v>
      </c>
    </row>
    <row r="681" spans="1:9" x14ac:dyDescent="0.25">
      <c r="A681">
        <v>680</v>
      </c>
      <c r="B681" s="9">
        <v>45380</v>
      </c>
      <c r="C681">
        <v>3</v>
      </c>
      <c r="D681">
        <v>46</v>
      </c>
      <c r="E681">
        <v>50</v>
      </c>
      <c r="F681">
        <v>1</v>
      </c>
      <c r="G681">
        <v>52.54</v>
      </c>
      <c r="H681">
        <v>0</v>
      </c>
      <c r="I681">
        <v>52.54</v>
      </c>
    </row>
    <row r="682" spans="1:9" x14ac:dyDescent="0.25">
      <c r="A682">
        <v>681</v>
      </c>
      <c r="B682" s="9">
        <v>44960</v>
      </c>
      <c r="C682">
        <v>5</v>
      </c>
      <c r="D682">
        <v>111</v>
      </c>
      <c r="E682">
        <v>42</v>
      </c>
      <c r="F682">
        <v>1</v>
      </c>
      <c r="G682">
        <v>127.97</v>
      </c>
      <c r="H682">
        <v>0</v>
      </c>
      <c r="I682">
        <v>127.97</v>
      </c>
    </row>
    <row r="683" spans="1:9" x14ac:dyDescent="0.25">
      <c r="A683">
        <v>682</v>
      </c>
      <c r="B683" s="9">
        <v>45782</v>
      </c>
      <c r="C683">
        <v>5</v>
      </c>
      <c r="D683">
        <v>25</v>
      </c>
      <c r="E683">
        <v>90</v>
      </c>
      <c r="F683">
        <v>1</v>
      </c>
      <c r="G683">
        <v>122.32</v>
      </c>
      <c r="H683">
        <v>0.05</v>
      </c>
      <c r="I683">
        <v>116.2</v>
      </c>
    </row>
    <row r="684" spans="1:9" x14ac:dyDescent="0.25">
      <c r="A684">
        <v>683</v>
      </c>
      <c r="B684" s="9">
        <v>45239</v>
      </c>
      <c r="C684">
        <v>4</v>
      </c>
      <c r="D684">
        <v>67</v>
      </c>
      <c r="E684">
        <v>22</v>
      </c>
      <c r="F684">
        <v>1</v>
      </c>
      <c r="G684">
        <v>49.91</v>
      </c>
      <c r="H684">
        <v>0.05</v>
      </c>
      <c r="I684">
        <v>47.41</v>
      </c>
    </row>
    <row r="685" spans="1:9" x14ac:dyDescent="0.25">
      <c r="A685">
        <v>684</v>
      </c>
      <c r="B685" s="9">
        <v>45602</v>
      </c>
      <c r="C685">
        <v>4</v>
      </c>
      <c r="D685">
        <v>71</v>
      </c>
      <c r="E685">
        <v>9</v>
      </c>
      <c r="F685">
        <v>1</v>
      </c>
      <c r="G685">
        <v>152.78</v>
      </c>
      <c r="H685">
        <v>0</v>
      </c>
      <c r="I685">
        <v>152.78</v>
      </c>
    </row>
    <row r="686" spans="1:9" x14ac:dyDescent="0.25">
      <c r="A686">
        <v>685</v>
      </c>
      <c r="B686" s="9">
        <v>45704</v>
      </c>
      <c r="C686">
        <v>4</v>
      </c>
      <c r="D686">
        <v>84</v>
      </c>
      <c r="E686">
        <v>80</v>
      </c>
      <c r="F686">
        <v>2</v>
      </c>
      <c r="G686">
        <v>33.380000000000003</v>
      </c>
      <c r="H686">
        <v>0.05</v>
      </c>
      <c r="I686">
        <v>63.42</v>
      </c>
    </row>
    <row r="687" spans="1:9" x14ac:dyDescent="0.25">
      <c r="A687">
        <v>686</v>
      </c>
      <c r="B687" s="9">
        <v>45949</v>
      </c>
      <c r="C687">
        <v>6</v>
      </c>
      <c r="D687">
        <v>21</v>
      </c>
      <c r="E687">
        <v>12</v>
      </c>
      <c r="F687">
        <v>2</v>
      </c>
      <c r="G687">
        <v>236.84</v>
      </c>
      <c r="H687">
        <v>0</v>
      </c>
      <c r="I687">
        <v>473.68</v>
      </c>
    </row>
    <row r="688" spans="1:9" x14ac:dyDescent="0.25">
      <c r="A688">
        <v>687</v>
      </c>
      <c r="B688" s="9">
        <v>45454</v>
      </c>
      <c r="C688">
        <v>8</v>
      </c>
      <c r="D688">
        <v>144</v>
      </c>
      <c r="E688">
        <v>100</v>
      </c>
      <c r="F688">
        <v>3</v>
      </c>
      <c r="G688">
        <v>39.06</v>
      </c>
      <c r="H688">
        <v>0.1</v>
      </c>
      <c r="I688">
        <v>105.46</v>
      </c>
    </row>
    <row r="689" spans="1:9" x14ac:dyDescent="0.25">
      <c r="A689">
        <v>688</v>
      </c>
      <c r="B689" s="9">
        <v>45931</v>
      </c>
      <c r="C689">
        <v>8</v>
      </c>
      <c r="D689">
        <v>121</v>
      </c>
      <c r="E689">
        <v>19</v>
      </c>
      <c r="F689">
        <v>2</v>
      </c>
      <c r="G689">
        <v>138.31</v>
      </c>
      <c r="H689">
        <v>0.1</v>
      </c>
      <c r="I689">
        <v>248.96</v>
      </c>
    </row>
    <row r="690" spans="1:9" x14ac:dyDescent="0.25">
      <c r="A690">
        <v>689</v>
      </c>
      <c r="B690" s="9">
        <v>45271</v>
      </c>
      <c r="C690">
        <v>6</v>
      </c>
      <c r="D690">
        <v>161</v>
      </c>
      <c r="E690">
        <v>62</v>
      </c>
      <c r="F690">
        <v>1</v>
      </c>
      <c r="G690">
        <v>82.81</v>
      </c>
      <c r="H690">
        <v>0</v>
      </c>
      <c r="I690">
        <v>82.81</v>
      </c>
    </row>
    <row r="691" spans="1:9" x14ac:dyDescent="0.25">
      <c r="A691">
        <v>690</v>
      </c>
      <c r="B691" s="9">
        <v>45273</v>
      </c>
      <c r="C691">
        <v>3</v>
      </c>
      <c r="D691">
        <v>214</v>
      </c>
      <c r="E691">
        <v>55</v>
      </c>
      <c r="F691">
        <v>2</v>
      </c>
      <c r="G691">
        <v>193.33</v>
      </c>
      <c r="H691">
        <v>0</v>
      </c>
      <c r="I691">
        <v>386.66</v>
      </c>
    </row>
    <row r="692" spans="1:9" x14ac:dyDescent="0.25">
      <c r="A692">
        <v>691</v>
      </c>
      <c r="B692" s="9">
        <v>45927</v>
      </c>
      <c r="C692">
        <v>3</v>
      </c>
      <c r="D692">
        <v>98</v>
      </c>
      <c r="E692">
        <v>35</v>
      </c>
      <c r="F692">
        <v>2</v>
      </c>
      <c r="G692">
        <v>303.48</v>
      </c>
      <c r="H692">
        <v>0</v>
      </c>
      <c r="I692">
        <v>606.96</v>
      </c>
    </row>
    <row r="693" spans="1:9" x14ac:dyDescent="0.25">
      <c r="A693">
        <v>692</v>
      </c>
      <c r="B693" s="9">
        <v>45047</v>
      </c>
      <c r="C693">
        <v>1</v>
      </c>
      <c r="D693">
        <v>195</v>
      </c>
      <c r="E693">
        <v>7</v>
      </c>
      <c r="F693">
        <v>1</v>
      </c>
      <c r="G693">
        <v>21.72</v>
      </c>
      <c r="H693">
        <v>0.1</v>
      </c>
      <c r="I693">
        <v>19.55</v>
      </c>
    </row>
    <row r="694" spans="1:9" x14ac:dyDescent="0.25">
      <c r="A694">
        <v>693</v>
      </c>
      <c r="B694" s="9">
        <v>45079</v>
      </c>
      <c r="C694">
        <v>1</v>
      </c>
      <c r="D694">
        <v>156</v>
      </c>
      <c r="E694">
        <v>17</v>
      </c>
      <c r="F694">
        <v>2</v>
      </c>
      <c r="G694">
        <v>97.14</v>
      </c>
      <c r="H694">
        <v>0</v>
      </c>
      <c r="I694">
        <v>194.28</v>
      </c>
    </row>
    <row r="695" spans="1:9" x14ac:dyDescent="0.25">
      <c r="A695">
        <v>694</v>
      </c>
      <c r="B695" s="9">
        <v>44940</v>
      </c>
      <c r="C695">
        <v>7</v>
      </c>
      <c r="D695">
        <v>4</v>
      </c>
      <c r="E695">
        <v>8</v>
      </c>
      <c r="F695">
        <v>1</v>
      </c>
      <c r="G695">
        <v>259.11</v>
      </c>
      <c r="H695">
        <v>0.05</v>
      </c>
      <c r="I695">
        <v>246.15</v>
      </c>
    </row>
    <row r="696" spans="1:9" x14ac:dyDescent="0.25">
      <c r="A696">
        <v>695</v>
      </c>
      <c r="B696" s="9">
        <v>45208</v>
      </c>
      <c r="C696">
        <v>4</v>
      </c>
      <c r="D696">
        <v>6</v>
      </c>
      <c r="E696">
        <v>70</v>
      </c>
      <c r="F696">
        <v>2</v>
      </c>
      <c r="G696">
        <v>280.36</v>
      </c>
      <c r="H696">
        <v>0.1</v>
      </c>
      <c r="I696">
        <v>504.65</v>
      </c>
    </row>
    <row r="697" spans="1:9" x14ac:dyDescent="0.25">
      <c r="A697">
        <v>696</v>
      </c>
      <c r="B697" s="9">
        <v>45066</v>
      </c>
      <c r="C697">
        <v>3</v>
      </c>
      <c r="D697">
        <v>117</v>
      </c>
      <c r="E697">
        <v>41</v>
      </c>
      <c r="F697">
        <v>1</v>
      </c>
      <c r="G697">
        <v>45.5</v>
      </c>
      <c r="H697">
        <v>0</v>
      </c>
      <c r="I697">
        <v>45.5</v>
      </c>
    </row>
    <row r="698" spans="1:9" x14ac:dyDescent="0.25">
      <c r="A698">
        <v>697</v>
      </c>
      <c r="B698" s="9">
        <v>44945</v>
      </c>
      <c r="C698">
        <v>4</v>
      </c>
      <c r="D698">
        <v>175</v>
      </c>
      <c r="E698">
        <v>37</v>
      </c>
      <c r="F698">
        <v>1</v>
      </c>
      <c r="G698">
        <v>88.87</v>
      </c>
      <c r="H698">
        <v>0</v>
      </c>
      <c r="I698">
        <v>88.87</v>
      </c>
    </row>
    <row r="699" spans="1:9" x14ac:dyDescent="0.25">
      <c r="A699">
        <v>698</v>
      </c>
      <c r="B699" s="9">
        <v>45962</v>
      </c>
      <c r="C699">
        <v>8</v>
      </c>
      <c r="D699">
        <v>68</v>
      </c>
      <c r="E699">
        <v>4</v>
      </c>
      <c r="F699">
        <v>1</v>
      </c>
      <c r="G699">
        <v>168</v>
      </c>
      <c r="H699">
        <v>0</v>
      </c>
      <c r="I699">
        <v>168</v>
      </c>
    </row>
    <row r="700" spans="1:9" x14ac:dyDescent="0.25">
      <c r="A700">
        <v>699</v>
      </c>
      <c r="B700" s="9">
        <v>45691</v>
      </c>
      <c r="C700">
        <v>1</v>
      </c>
      <c r="D700">
        <v>197</v>
      </c>
      <c r="E700">
        <v>68</v>
      </c>
      <c r="F700">
        <v>2</v>
      </c>
      <c r="G700">
        <v>198.56</v>
      </c>
      <c r="H700">
        <v>0</v>
      </c>
      <c r="I700">
        <v>397.12</v>
      </c>
    </row>
    <row r="701" spans="1:9" x14ac:dyDescent="0.25">
      <c r="A701">
        <v>700</v>
      </c>
      <c r="B701" s="9">
        <v>45916</v>
      </c>
      <c r="C701">
        <v>8</v>
      </c>
      <c r="D701">
        <v>25</v>
      </c>
      <c r="E701">
        <v>99</v>
      </c>
      <c r="F701">
        <v>1</v>
      </c>
      <c r="G701">
        <v>15.44</v>
      </c>
      <c r="H701">
        <v>0</v>
      </c>
      <c r="I701">
        <v>15.44</v>
      </c>
    </row>
    <row r="702" spans="1:9" x14ac:dyDescent="0.25">
      <c r="A702">
        <v>701</v>
      </c>
      <c r="B702" s="9">
        <v>44959</v>
      </c>
      <c r="C702">
        <v>1</v>
      </c>
      <c r="D702">
        <v>80</v>
      </c>
      <c r="E702">
        <v>64</v>
      </c>
      <c r="F702">
        <v>2</v>
      </c>
      <c r="G702">
        <v>103.65</v>
      </c>
      <c r="H702">
        <v>0</v>
      </c>
      <c r="I702">
        <v>207.3</v>
      </c>
    </row>
    <row r="703" spans="1:9" x14ac:dyDescent="0.25">
      <c r="A703">
        <v>702</v>
      </c>
      <c r="B703" s="9">
        <v>45769</v>
      </c>
      <c r="C703">
        <v>1</v>
      </c>
      <c r="D703">
        <v>4</v>
      </c>
      <c r="E703">
        <v>37</v>
      </c>
      <c r="F703">
        <v>1</v>
      </c>
      <c r="G703">
        <v>88.87</v>
      </c>
      <c r="H703">
        <v>0.1</v>
      </c>
      <c r="I703">
        <v>79.98</v>
      </c>
    </row>
    <row r="704" spans="1:9" x14ac:dyDescent="0.25">
      <c r="A704">
        <v>703</v>
      </c>
      <c r="B704" s="9">
        <v>44961</v>
      </c>
      <c r="C704">
        <v>5</v>
      </c>
      <c r="D704">
        <v>197</v>
      </c>
      <c r="E704">
        <v>66</v>
      </c>
      <c r="F704">
        <v>1</v>
      </c>
      <c r="G704">
        <v>169.57</v>
      </c>
      <c r="H704">
        <v>0</v>
      </c>
      <c r="I704">
        <v>169.57</v>
      </c>
    </row>
    <row r="705" spans="1:9" x14ac:dyDescent="0.25">
      <c r="A705">
        <v>704</v>
      </c>
      <c r="B705" s="9">
        <v>45514</v>
      </c>
      <c r="C705">
        <v>1</v>
      </c>
      <c r="D705">
        <v>172</v>
      </c>
      <c r="E705">
        <v>89</v>
      </c>
      <c r="F705">
        <v>2</v>
      </c>
      <c r="G705">
        <v>247.43</v>
      </c>
      <c r="H705">
        <v>0.1</v>
      </c>
      <c r="I705">
        <v>445.37</v>
      </c>
    </row>
    <row r="706" spans="1:9" x14ac:dyDescent="0.25">
      <c r="A706">
        <v>705</v>
      </c>
      <c r="B706" s="9">
        <v>45955</v>
      </c>
      <c r="C706">
        <v>7</v>
      </c>
      <c r="D706">
        <v>158</v>
      </c>
      <c r="E706">
        <v>4</v>
      </c>
      <c r="F706">
        <v>1</v>
      </c>
      <c r="G706">
        <v>168</v>
      </c>
      <c r="H706">
        <v>0.05</v>
      </c>
      <c r="I706">
        <v>159.6</v>
      </c>
    </row>
    <row r="707" spans="1:9" x14ac:dyDescent="0.25">
      <c r="A707">
        <v>706</v>
      </c>
      <c r="B707" s="9">
        <v>45294</v>
      </c>
      <c r="C707">
        <v>2</v>
      </c>
      <c r="D707">
        <v>216</v>
      </c>
      <c r="E707">
        <v>49</v>
      </c>
      <c r="F707">
        <v>1</v>
      </c>
      <c r="G707">
        <v>130.58000000000001</v>
      </c>
      <c r="H707">
        <v>0.05</v>
      </c>
      <c r="I707">
        <v>124.05</v>
      </c>
    </row>
    <row r="708" spans="1:9" x14ac:dyDescent="0.25">
      <c r="A708">
        <v>707</v>
      </c>
      <c r="B708" s="9">
        <v>45124</v>
      </c>
      <c r="C708">
        <v>3</v>
      </c>
      <c r="D708">
        <v>42</v>
      </c>
      <c r="E708">
        <v>44</v>
      </c>
      <c r="F708">
        <v>1</v>
      </c>
      <c r="G708">
        <v>235.19</v>
      </c>
      <c r="H708">
        <v>0.1</v>
      </c>
      <c r="I708">
        <v>211.67</v>
      </c>
    </row>
    <row r="709" spans="1:9" x14ac:dyDescent="0.25">
      <c r="A709">
        <v>708</v>
      </c>
      <c r="B709" s="9">
        <v>45420</v>
      </c>
      <c r="C709">
        <v>4</v>
      </c>
      <c r="D709">
        <v>85</v>
      </c>
      <c r="E709">
        <v>73</v>
      </c>
      <c r="F709">
        <v>1</v>
      </c>
      <c r="G709">
        <v>8.39</v>
      </c>
      <c r="H709">
        <v>0</v>
      </c>
      <c r="I709">
        <v>8.39</v>
      </c>
    </row>
    <row r="710" spans="1:9" x14ac:dyDescent="0.25">
      <c r="A710">
        <v>709</v>
      </c>
      <c r="B710" s="9">
        <v>45443</v>
      </c>
      <c r="C710">
        <v>6</v>
      </c>
      <c r="D710">
        <v>14</v>
      </c>
      <c r="E710">
        <v>34</v>
      </c>
      <c r="F710">
        <v>1</v>
      </c>
      <c r="G710">
        <v>247.04</v>
      </c>
      <c r="H710">
        <v>0</v>
      </c>
      <c r="I710">
        <v>247.04</v>
      </c>
    </row>
    <row r="711" spans="1:9" x14ac:dyDescent="0.25">
      <c r="A711">
        <v>710</v>
      </c>
      <c r="B711" s="9">
        <v>45474</v>
      </c>
      <c r="C711">
        <v>7</v>
      </c>
      <c r="D711">
        <v>135</v>
      </c>
      <c r="E711">
        <v>33</v>
      </c>
      <c r="F711">
        <v>1</v>
      </c>
      <c r="G711">
        <v>21.23</v>
      </c>
      <c r="H711">
        <v>0</v>
      </c>
      <c r="I711">
        <v>21.23</v>
      </c>
    </row>
    <row r="712" spans="1:9" x14ac:dyDescent="0.25">
      <c r="A712">
        <v>711</v>
      </c>
      <c r="B712" s="9">
        <v>45088</v>
      </c>
      <c r="C712">
        <v>6</v>
      </c>
      <c r="D712">
        <v>159</v>
      </c>
      <c r="E712">
        <v>66</v>
      </c>
      <c r="F712">
        <v>1</v>
      </c>
      <c r="G712">
        <v>169.57</v>
      </c>
      <c r="H712">
        <v>0</v>
      </c>
      <c r="I712">
        <v>169.57</v>
      </c>
    </row>
    <row r="713" spans="1:9" x14ac:dyDescent="0.25">
      <c r="A713">
        <v>712</v>
      </c>
      <c r="B713" s="9">
        <v>45758</v>
      </c>
      <c r="C713">
        <v>8</v>
      </c>
      <c r="D713">
        <v>134</v>
      </c>
      <c r="E713">
        <v>5</v>
      </c>
      <c r="F713">
        <v>1</v>
      </c>
      <c r="G713">
        <v>55.26</v>
      </c>
      <c r="H713">
        <v>0</v>
      </c>
      <c r="I713">
        <v>55.26</v>
      </c>
    </row>
    <row r="714" spans="1:9" x14ac:dyDescent="0.25">
      <c r="A714">
        <v>713</v>
      </c>
      <c r="B714" s="9">
        <v>45425</v>
      </c>
      <c r="C714">
        <v>4</v>
      </c>
      <c r="D714">
        <v>67</v>
      </c>
      <c r="E714">
        <v>55</v>
      </c>
      <c r="F714">
        <v>2</v>
      </c>
      <c r="G714">
        <v>193.33</v>
      </c>
      <c r="H714">
        <v>0</v>
      </c>
      <c r="I714">
        <v>386.66</v>
      </c>
    </row>
    <row r="715" spans="1:9" x14ac:dyDescent="0.25">
      <c r="A715">
        <v>714</v>
      </c>
      <c r="B715" s="9">
        <v>45541</v>
      </c>
      <c r="C715">
        <v>2</v>
      </c>
      <c r="D715">
        <v>108</v>
      </c>
      <c r="E715">
        <v>52</v>
      </c>
      <c r="F715">
        <v>2</v>
      </c>
      <c r="G715">
        <v>196.75</v>
      </c>
      <c r="H715">
        <v>0</v>
      </c>
      <c r="I715">
        <v>393.5</v>
      </c>
    </row>
    <row r="716" spans="1:9" x14ac:dyDescent="0.25">
      <c r="A716">
        <v>715</v>
      </c>
      <c r="B716" s="9">
        <v>44991</v>
      </c>
      <c r="C716">
        <v>2</v>
      </c>
      <c r="D716">
        <v>62</v>
      </c>
      <c r="E716">
        <v>57</v>
      </c>
      <c r="F716">
        <v>1</v>
      </c>
      <c r="G716">
        <v>32.28</v>
      </c>
      <c r="H716">
        <v>0</v>
      </c>
      <c r="I716">
        <v>32.28</v>
      </c>
    </row>
    <row r="717" spans="1:9" x14ac:dyDescent="0.25">
      <c r="A717">
        <v>716</v>
      </c>
      <c r="B717" s="9">
        <v>45757</v>
      </c>
      <c r="C717">
        <v>7</v>
      </c>
      <c r="D717">
        <v>134</v>
      </c>
      <c r="E717">
        <v>80</v>
      </c>
      <c r="F717">
        <v>1</v>
      </c>
      <c r="G717">
        <v>33.380000000000003</v>
      </c>
      <c r="H717">
        <v>0</v>
      </c>
      <c r="I717">
        <v>33.380000000000003</v>
      </c>
    </row>
    <row r="718" spans="1:9" x14ac:dyDescent="0.25">
      <c r="A718">
        <v>717</v>
      </c>
      <c r="B718" s="9">
        <v>45699</v>
      </c>
      <c r="C718">
        <v>8</v>
      </c>
      <c r="D718">
        <v>5</v>
      </c>
      <c r="E718">
        <v>47</v>
      </c>
      <c r="F718">
        <v>1</v>
      </c>
      <c r="G718">
        <v>93.41</v>
      </c>
      <c r="H718">
        <v>0</v>
      </c>
      <c r="I718">
        <v>93.41</v>
      </c>
    </row>
    <row r="719" spans="1:9" x14ac:dyDescent="0.25">
      <c r="A719">
        <v>718</v>
      </c>
      <c r="B719" s="9">
        <v>45041</v>
      </c>
      <c r="C719">
        <v>1</v>
      </c>
      <c r="D719">
        <v>141</v>
      </c>
      <c r="E719">
        <v>34</v>
      </c>
      <c r="F719">
        <v>1</v>
      </c>
      <c r="G719">
        <v>247.04</v>
      </c>
      <c r="H719">
        <v>0</v>
      </c>
      <c r="I719">
        <v>247.04</v>
      </c>
    </row>
    <row r="720" spans="1:9" x14ac:dyDescent="0.25">
      <c r="A720">
        <v>719</v>
      </c>
      <c r="B720" s="9">
        <v>45277</v>
      </c>
      <c r="C720">
        <v>2</v>
      </c>
      <c r="D720">
        <v>36</v>
      </c>
      <c r="E720">
        <v>1</v>
      </c>
      <c r="F720">
        <v>1</v>
      </c>
      <c r="G720">
        <v>90.53</v>
      </c>
      <c r="H720">
        <v>0</v>
      </c>
      <c r="I720">
        <v>90.53</v>
      </c>
    </row>
    <row r="721" spans="1:9" x14ac:dyDescent="0.25">
      <c r="A721">
        <v>720</v>
      </c>
      <c r="B721" s="9">
        <v>45950</v>
      </c>
      <c r="C721">
        <v>7</v>
      </c>
      <c r="D721">
        <v>14</v>
      </c>
      <c r="E721">
        <v>95</v>
      </c>
      <c r="F721">
        <v>1</v>
      </c>
      <c r="G721">
        <v>201.94</v>
      </c>
      <c r="H721">
        <v>0.1</v>
      </c>
      <c r="I721">
        <v>181.75</v>
      </c>
    </row>
    <row r="722" spans="1:9" x14ac:dyDescent="0.25">
      <c r="A722">
        <v>721</v>
      </c>
      <c r="B722" s="9">
        <v>45605</v>
      </c>
      <c r="C722">
        <v>2</v>
      </c>
      <c r="D722">
        <v>190</v>
      </c>
      <c r="E722">
        <v>70</v>
      </c>
      <c r="F722">
        <v>3</v>
      </c>
      <c r="G722">
        <v>280.36</v>
      </c>
      <c r="H722">
        <v>0</v>
      </c>
      <c r="I722">
        <v>841.08</v>
      </c>
    </row>
    <row r="723" spans="1:9" x14ac:dyDescent="0.25">
      <c r="A723">
        <v>722</v>
      </c>
      <c r="B723" s="9">
        <v>45014</v>
      </c>
      <c r="C723">
        <v>4</v>
      </c>
      <c r="D723">
        <v>102</v>
      </c>
      <c r="E723">
        <v>45</v>
      </c>
      <c r="F723">
        <v>1</v>
      </c>
      <c r="G723">
        <v>70.989999999999995</v>
      </c>
      <c r="H723">
        <v>0.1</v>
      </c>
      <c r="I723">
        <v>63.89</v>
      </c>
    </row>
    <row r="724" spans="1:9" x14ac:dyDescent="0.25">
      <c r="A724">
        <v>723</v>
      </c>
      <c r="B724" s="9">
        <v>45359</v>
      </c>
      <c r="C724">
        <v>8</v>
      </c>
      <c r="D724">
        <v>37</v>
      </c>
      <c r="E724">
        <v>82</v>
      </c>
      <c r="F724">
        <v>3</v>
      </c>
      <c r="G724">
        <v>151.85</v>
      </c>
      <c r="H724">
        <v>0</v>
      </c>
      <c r="I724">
        <v>455.55</v>
      </c>
    </row>
    <row r="725" spans="1:9" x14ac:dyDescent="0.25">
      <c r="A725">
        <v>724</v>
      </c>
      <c r="B725" s="9">
        <v>45482</v>
      </c>
      <c r="C725">
        <v>1</v>
      </c>
      <c r="D725">
        <v>89</v>
      </c>
      <c r="E725">
        <v>76</v>
      </c>
      <c r="F725">
        <v>1</v>
      </c>
      <c r="G725">
        <v>181.01</v>
      </c>
      <c r="H725">
        <v>0</v>
      </c>
      <c r="I725">
        <v>181.01</v>
      </c>
    </row>
    <row r="726" spans="1:9" x14ac:dyDescent="0.25">
      <c r="A726">
        <v>725</v>
      </c>
      <c r="B726" s="9">
        <v>45079</v>
      </c>
      <c r="C726">
        <v>5</v>
      </c>
      <c r="D726">
        <v>99</v>
      </c>
      <c r="E726">
        <v>13</v>
      </c>
      <c r="F726">
        <v>1</v>
      </c>
      <c r="G726">
        <v>262.70999999999998</v>
      </c>
      <c r="H726">
        <v>0</v>
      </c>
      <c r="I726">
        <v>262.70999999999998</v>
      </c>
    </row>
    <row r="727" spans="1:9" x14ac:dyDescent="0.25">
      <c r="A727">
        <v>726</v>
      </c>
      <c r="B727" s="9">
        <v>44994</v>
      </c>
      <c r="C727">
        <v>3</v>
      </c>
      <c r="D727">
        <v>149</v>
      </c>
      <c r="E727">
        <v>80</v>
      </c>
      <c r="F727">
        <v>1</v>
      </c>
      <c r="G727">
        <v>33.380000000000003</v>
      </c>
      <c r="H727">
        <v>0</v>
      </c>
      <c r="I727">
        <v>33.380000000000003</v>
      </c>
    </row>
    <row r="728" spans="1:9" x14ac:dyDescent="0.25">
      <c r="A728">
        <v>727</v>
      </c>
      <c r="B728" s="9">
        <v>45571</v>
      </c>
      <c r="C728">
        <v>1</v>
      </c>
      <c r="D728">
        <v>80</v>
      </c>
      <c r="E728">
        <v>9</v>
      </c>
      <c r="F728">
        <v>2</v>
      </c>
      <c r="G728">
        <v>152.78</v>
      </c>
      <c r="H728">
        <v>0.05</v>
      </c>
      <c r="I728">
        <v>290.27999999999997</v>
      </c>
    </row>
    <row r="729" spans="1:9" x14ac:dyDescent="0.25">
      <c r="A729">
        <v>728</v>
      </c>
      <c r="B729" s="9">
        <v>45351</v>
      </c>
      <c r="C729">
        <v>3</v>
      </c>
      <c r="D729">
        <v>140</v>
      </c>
      <c r="E729">
        <v>100</v>
      </c>
      <c r="F729">
        <v>1</v>
      </c>
      <c r="G729">
        <v>39.06</v>
      </c>
      <c r="H729">
        <v>0.05</v>
      </c>
      <c r="I729">
        <v>37.11</v>
      </c>
    </row>
    <row r="730" spans="1:9" x14ac:dyDescent="0.25">
      <c r="A730">
        <v>729</v>
      </c>
      <c r="B730" s="9">
        <v>45742</v>
      </c>
      <c r="C730">
        <v>2</v>
      </c>
      <c r="D730">
        <v>166</v>
      </c>
      <c r="E730">
        <v>7</v>
      </c>
      <c r="F730">
        <v>2</v>
      </c>
      <c r="G730">
        <v>21.72</v>
      </c>
      <c r="H730">
        <v>0</v>
      </c>
      <c r="I730">
        <v>43.44</v>
      </c>
    </row>
    <row r="731" spans="1:9" x14ac:dyDescent="0.25">
      <c r="A731">
        <v>730</v>
      </c>
      <c r="B731" s="9">
        <v>45539</v>
      </c>
      <c r="C731">
        <v>3</v>
      </c>
      <c r="D731">
        <v>154</v>
      </c>
      <c r="E731">
        <v>20</v>
      </c>
      <c r="F731">
        <v>1</v>
      </c>
      <c r="G731">
        <v>85.89</v>
      </c>
      <c r="H731">
        <v>0.05</v>
      </c>
      <c r="I731">
        <v>81.599999999999994</v>
      </c>
    </row>
    <row r="732" spans="1:9" x14ac:dyDescent="0.25">
      <c r="A732">
        <v>731</v>
      </c>
      <c r="B732" s="9">
        <v>45419</v>
      </c>
      <c r="C732">
        <v>7</v>
      </c>
      <c r="D732">
        <v>199</v>
      </c>
      <c r="E732">
        <v>48</v>
      </c>
      <c r="F732">
        <v>1</v>
      </c>
      <c r="G732">
        <v>146.85</v>
      </c>
      <c r="H732">
        <v>0</v>
      </c>
      <c r="I732">
        <v>146.85</v>
      </c>
    </row>
    <row r="733" spans="1:9" x14ac:dyDescent="0.25">
      <c r="A733">
        <v>732</v>
      </c>
      <c r="B733" s="9">
        <v>45606</v>
      </c>
      <c r="C733">
        <v>7</v>
      </c>
      <c r="D733">
        <v>146</v>
      </c>
      <c r="E733">
        <v>82</v>
      </c>
      <c r="F733">
        <v>1</v>
      </c>
      <c r="G733">
        <v>151.85</v>
      </c>
      <c r="H733">
        <v>0.15</v>
      </c>
      <c r="I733">
        <v>129.07</v>
      </c>
    </row>
    <row r="734" spans="1:9" x14ac:dyDescent="0.25">
      <c r="A734">
        <v>733</v>
      </c>
      <c r="B734" s="9">
        <v>45213</v>
      </c>
      <c r="C734">
        <v>2</v>
      </c>
      <c r="D734">
        <v>184</v>
      </c>
      <c r="E734">
        <v>98</v>
      </c>
      <c r="F734">
        <v>1</v>
      </c>
      <c r="G734">
        <v>136.97</v>
      </c>
      <c r="H734">
        <v>0</v>
      </c>
      <c r="I734">
        <v>136.97</v>
      </c>
    </row>
    <row r="735" spans="1:9" x14ac:dyDescent="0.25">
      <c r="A735">
        <v>734</v>
      </c>
      <c r="B735" s="9">
        <v>45952</v>
      </c>
      <c r="C735">
        <v>6</v>
      </c>
      <c r="D735">
        <v>73</v>
      </c>
      <c r="E735">
        <v>63</v>
      </c>
      <c r="F735">
        <v>1</v>
      </c>
      <c r="G735">
        <v>239.9</v>
      </c>
      <c r="H735">
        <v>0.05</v>
      </c>
      <c r="I735">
        <v>227.91</v>
      </c>
    </row>
    <row r="736" spans="1:9" x14ac:dyDescent="0.25">
      <c r="A736">
        <v>735</v>
      </c>
      <c r="B736" s="9">
        <v>45036</v>
      </c>
      <c r="C736">
        <v>2</v>
      </c>
      <c r="D736">
        <v>127</v>
      </c>
      <c r="E736">
        <v>10</v>
      </c>
      <c r="F736">
        <v>2</v>
      </c>
      <c r="G736">
        <v>168.82</v>
      </c>
      <c r="H736">
        <v>0</v>
      </c>
      <c r="I736">
        <v>337.64</v>
      </c>
    </row>
    <row r="737" spans="1:9" x14ac:dyDescent="0.25">
      <c r="A737">
        <v>736</v>
      </c>
      <c r="B737" s="9">
        <v>45822</v>
      </c>
      <c r="C737">
        <v>4</v>
      </c>
      <c r="D737">
        <v>139</v>
      </c>
      <c r="E737">
        <v>30</v>
      </c>
      <c r="F737">
        <v>1</v>
      </c>
      <c r="G737">
        <v>19.399999999999999</v>
      </c>
      <c r="H737">
        <v>0.05</v>
      </c>
      <c r="I737">
        <v>18.43</v>
      </c>
    </row>
    <row r="738" spans="1:9" x14ac:dyDescent="0.25">
      <c r="A738">
        <v>737</v>
      </c>
      <c r="B738" s="9">
        <v>45082</v>
      </c>
      <c r="C738">
        <v>6</v>
      </c>
      <c r="D738">
        <v>130</v>
      </c>
      <c r="E738">
        <v>84</v>
      </c>
      <c r="F738">
        <v>1</v>
      </c>
      <c r="G738">
        <v>26.78</v>
      </c>
      <c r="H738">
        <v>0</v>
      </c>
      <c r="I738">
        <v>26.78</v>
      </c>
    </row>
    <row r="739" spans="1:9" x14ac:dyDescent="0.25">
      <c r="A739">
        <v>738</v>
      </c>
      <c r="B739" s="9">
        <v>45739</v>
      </c>
      <c r="C739">
        <v>6</v>
      </c>
      <c r="D739">
        <v>53</v>
      </c>
      <c r="E739">
        <v>65</v>
      </c>
      <c r="F739">
        <v>3</v>
      </c>
      <c r="G739">
        <v>71.14</v>
      </c>
      <c r="H739">
        <v>0.05</v>
      </c>
      <c r="I739">
        <v>202.75</v>
      </c>
    </row>
    <row r="740" spans="1:9" x14ac:dyDescent="0.25">
      <c r="A740">
        <v>739</v>
      </c>
      <c r="B740" s="9">
        <v>44987</v>
      </c>
      <c r="C740">
        <v>5</v>
      </c>
      <c r="D740">
        <v>107</v>
      </c>
      <c r="E740">
        <v>41</v>
      </c>
      <c r="F740">
        <v>1</v>
      </c>
      <c r="G740">
        <v>45.5</v>
      </c>
      <c r="H740">
        <v>0</v>
      </c>
      <c r="I740">
        <v>45.5</v>
      </c>
    </row>
    <row r="741" spans="1:9" x14ac:dyDescent="0.25">
      <c r="A741">
        <v>740</v>
      </c>
      <c r="B741" s="9">
        <v>45849</v>
      </c>
      <c r="C741">
        <v>8</v>
      </c>
      <c r="D741">
        <v>185</v>
      </c>
      <c r="E741">
        <v>31</v>
      </c>
      <c r="F741">
        <v>1</v>
      </c>
      <c r="G741">
        <v>165.45</v>
      </c>
      <c r="H741">
        <v>0.2</v>
      </c>
      <c r="I741">
        <v>132.36000000000001</v>
      </c>
    </row>
    <row r="742" spans="1:9" x14ac:dyDescent="0.25">
      <c r="A742">
        <v>741</v>
      </c>
      <c r="B742" s="9">
        <v>45394</v>
      </c>
      <c r="C742">
        <v>6</v>
      </c>
      <c r="D742">
        <v>167</v>
      </c>
      <c r="E742">
        <v>100</v>
      </c>
      <c r="F742">
        <v>2</v>
      </c>
      <c r="G742">
        <v>39.06</v>
      </c>
      <c r="H742">
        <v>0</v>
      </c>
      <c r="I742">
        <v>78.12</v>
      </c>
    </row>
    <row r="743" spans="1:9" x14ac:dyDescent="0.25">
      <c r="A743">
        <v>742</v>
      </c>
      <c r="B743" s="9">
        <v>45695</v>
      </c>
      <c r="C743">
        <v>7</v>
      </c>
      <c r="D743">
        <v>157</v>
      </c>
      <c r="E743">
        <v>93</v>
      </c>
      <c r="F743">
        <v>1</v>
      </c>
      <c r="G743">
        <v>239.23</v>
      </c>
      <c r="H743">
        <v>0.05</v>
      </c>
      <c r="I743">
        <v>227.27</v>
      </c>
    </row>
    <row r="744" spans="1:9" x14ac:dyDescent="0.25">
      <c r="A744">
        <v>743</v>
      </c>
      <c r="B744" s="9">
        <v>45307</v>
      </c>
      <c r="C744">
        <v>7</v>
      </c>
      <c r="D744">
        <v>26</v>
      </c>
      <c r="E744">
        <v>22</v>
      </c>
      <c r="F744">
        <v>1</v>
      </c>
      <c r="G744">
        <v>49.91</v>
      </c>
      <c r="H744">
        <v>0</v>
      </c>
      <c r="I744">
        <v>49.91</v>
      </c>
    </row>
    <row r="745" spans="1:9" x14ac:dyDescent="0.25">
      <c r="A745">
        <v>744</v>
      </c>
      <c r="B745" s="9">
        <v>45102</v>
      </c>
      <c r="C745">
        <v>5</v>
      </c>
      <c r="D745">
        <v>149</v>
      </c>
      <c r="E745">
        <v>67</v>
      </c>
      <c r="F745">
        <v>1</v>
      </c>
      <c r="G745">
        <v>41.9</v>
      </c>
      <c r="H745">
        <v>0</v>
      </c>
      <c r="I745">
        <v>41.9</v>
      </c>
    </row>
    <row r="746" spans="1:9" x14ac:dyDescent="0.25">
      <c r="A746">
        <v>745</v>
      </c>
      <c r="B746" s="9">
        <v>45431</v>
      </c>
      <c r="C746">
        <v>2</v>
      </c>
      <c r="D746">
        <v>72</v>
      </c>
      <c r="E746">
        <v>35</v>
      </c>
      <c r="F746">
        <v>1</v>
      </c>
      <c r="G746">
        <v>303.48</v>
      </c>
      <c r="H746">
        <v>0</v>
      </c>
      <c r="I746">
        <v>303.48</v>
      </c>
    </row>
    <row r="747" spans="1:9" x14ac:dyDescent="0.25">
      <c r="A747">
        <v>746</v>
      </c>
      <c r="B747" s="9">
        <v>45095</v>
      </c>
      <c r="C747">
        <v>5</v>
      </c>
      <c r="D747">
        <v>25</v>
      </c>
      <c r="E747">
        <v>81</v>
      </c>
      <c r="F747">
        <v>1</v>
      </c>
      <c r="G747">
        <v>225.3</v>
      </c>
      <c r="H747">
        <v>0.2</v>
      </c>
      <c r="I747">
        <v>180.24</v>
      </c>
    </row>
    <row r="748" spans="1:9" x14ac:dyDescent="0.25">
      <c r="A748">
        <v>747</v>
      </c>
      <c r="B748" s="9">
        <v>45242</v>
      </c>
      <c r="C748">
        <v>7</v>
      </c>
      <c r="D748">
        <v>135</v>
      </c>
      <c r="E748">
        <v>32</v>
      </c>
      <c r="F748">
        <v>1</v>
      </c>
      <c r="G748">
        <v>47.81</v>
      </c>
      <c r="H748">
        <v>0</v>
      </c>
      <c r="I748">
        <v>47.81</v>
      </c>
    </row>
    <row r="749" spans="1:9" x14ac:dyDescent="0.25">
      <c r="A749">
        <v>748</v>
      </c>
      <c r="B749" s="9">
        <v>45242</v>
      </c>
      <c r="C749">
        <v>7</v>
      </c>
      <c r="D749">
        <v>28</v>
      </c>
      <c r="E749">
        <v>78</v>
      </c>
      <c r="F749">
        <v>1</v>
      </c>
      <c r="G749">
        <v>25.66</v>
      </c>
      <c r="H749">
        <v>0</v>
      </c>
      <c r="I749">
        <v>25.66</v>
      </c>
    </row>
    <row r="750" spans="1:9" x14ac:dyDescent="0.25">
      <c r="A750">
        <v>749</v>
      </c>
      <c r="B750" s="9">
        <v>45575</v>
      </c>
      <c r="C750">
        <v>6</v>
      </c>
      <c r="D750">
        <v>23</v>
      </c>
      <c r="E750">
        <v>82</v>
      </c>
      <c r="F750">
        <v>1</v>
      </c>
      <c r="G750">
        <v>151.85</v>
      </c>
      <c r="H750">
        <v>0.05</v>
      </c>
      <c r="I750">
        <v>144.26</v>
      </c>
    </row>
    <row r="751" spans="1:9" x14ac:dyDescent="0.25">
      <c r="A751">
        <v>750</v>
      </c>
      <c r="B751" s="9">
        <v>45145</v>
      </c>
      <c r="C751">
        <v>2</v>
      </c>
      <c r="D751">
        <v>187</v>
      </c>
      <c r="E751">
        <v>33</v>
      </c>
      <c r="F751">
        <v>2</v>
      </c>
      <c r="G751">
        <v>21.23</v>
      </c>
      <c r="H751">
        <v>0</v>
      </c>
      <c r="I751">
        <v>42.46</v>
      </c>
    </row>
    <row r="752" spans="1:9" x14ac:dyDescent="0.25">
      <c r="A752">
        <v>751</v>
      </c>
      <c r="B752" s="9">
        <v>44937</v>
      </c>
      <c r="C752">
        <v>5</v>
      </c>
      <c r="D752">
        <v>201</v>
      </c>
      <c r="E752">
        <v>16</v>
      </c>
      <c r="F752">
        <v>1</v>
      </c>
      <c r="G752">
        <v>62.77</v>
      </c>
      <c r="H752">
        <v>0.05</v>
      </c>
      <c r="I752">
        <v>59.63</v>
      </c>
    </row>
    <row r="753" spans="1:9" x14ac:dyDescent="0.25">
      <c r="A753">
        <v>752</v>
      </c>
      <c r="B753" s="9">
        <v>45837</v>
      </c>
      <c r="C753">
        <v>6</v>
      </c>
      <c r="D753">
        <v>186</v>
      </c>
      <c r="E753">
        <v>78</v>
      </c>
      <c r="F753">
        <v>4</v>
      </c>
      <c r="G753">
        <v>25.66</v>
      </c>
      <c r="H753">
        <v>0.05</v>
      </c>
      <c r="I753">
        <v>97.51</v>
      </c>
    </row>
    <row r="754" spans="1:9" x14ac:dyDescent="0.25">
      <c r="A754">
        <v>753</v>
      </c>
      <c r="B754" s="9">
        <v>45479</v>
      </c>
      <c r="C754">
        <v>2</v>
      </c>
      <c r="D754">
        <v>35</v>
      </c>
      <c r="E754">
        <v>41</v>
      </c>
      <c r="F754">
        <v>1</v>
      </c>
      <c r="G754">
        <v>45.5</v>
      </c>
      <c r="H754">
        <v>0</v>
      </c>
      <c r="I754">
        <v>45.5</v>
      </c>
    </row>
    <row r="755" spans="1:9" x14ac:dyDescent="0.25">
      <c r="A755">
        <v>754</v>
      </c>
      <c r="B755" s="9">
        <v>45198</v>
      </c>
      <c r="C755">
        <v>2</v>
      </c>
      <c r="D755">
        <v>116</v>
      </c>
      <c r="E755">
        <v>1</v>
      </c>
      <c r="F755">
        <v>1</v>
      </c>
      <c r="G755">
        <v>90.53</v>
      </c>
      <c r="H755">
        <v>0.05</v>
      </c>
      <c r="I755">
        <v>86</v>
      </c>
    </row>
    <row r="756" spans="1:9" x14ac:dyDescent="0.25">
      <c r="A756">
        <v>755</v>
      </c>
      <c r="B756" s="9">
        <v>45310</v>
      </c>
      <c r="C756">
        <v>7</v>
      </c>
      <c r="D756">
        <v>214</v>
      </c>
      <c r="E756">
        <v>95</v>
      </c>
      <c r="F756">
        <v>1</v>
      </c>
      <c r="G756">
        <v>201.94</v>
      </c>
      <c r="H756">
        <v>0</v>
      </c>
      <c r="I756">
        <v>201.94</v>
      </c>
    </row>
    <row r="757" spans="1:9" x14ac:dyDescent="0.25">
      <c r="A757">
        <v>756</v>
      </c>
      <c r="B757" s="9">
        <v>45846</v>
      </c>
      <c r="C757">
        <v>7</v>
      </c>
      <c r="D757">
        <v>170</v>
      </c>
      <c r="E757">
        <v>59</v>
      </c>
      <c r="F757">
        <v>4</v>
      </c>
      <c r="G757">
        <v>17.41</v>
      </c>
      <c r="H757">
        <v>0</v>
      </c>
      <c r="I757">
        <v>69.64</v>
      </c>
    </row>
    <row r="758" spans="1:9" x14ac:dyDescent="0.25">
      <c r="A758">
        <v>757</v>
      </c>
      <c r="B758" s="9">
        <v>45138</v>
      </c>
      <c r="C758">
        <v>1</v>
      </c>
      <c r="D758">
        <v>21</v>
      </c>
      <c r="E758">
        <v>78</v>
      </c>
      <c r="F758">
        <v>1</v>
      </c>
      <c r="G758">
        <v>25.66</v>
      </c>
      <c r="H758">
        <v>0</v>
      </c>
      <c r="I758">
        <v>25.66</v>
      </c>
    </row>
    <row r="759" spans="1:9" x14ac:dyDescent="0.25">
      <c r="A759">
        <v>758</v>
      </c>
      <c r="B759" s="9">
        <v>45110</v>
      </c>
      <c r="C759">
        <v>6</v>
      </c>
      <c r="D759">
        <v>206</v>
      </c>
      <c r="E759">
        <v>79</v>
      </c>
      <c r="F759">
        <v>1</v>
      </c>
      <c r="G759">
        <v>117.59</v>
      </c>
      <c r="H759">
        <v>0</v>
      </c>
      <c r="I759">
        <v>117.59</v>
      </c>
    </row>
    <row r="760" spans="1:9" x14ac:dyDescent="0.25">
      <c r="A760">
        <v>759</v>
      </c>
      <c r="B760" s="9">
        <v>45117</v>
      </c>
      <c r="C760">
        <v>6</v>
      </c>
      <c r="D760">
        <v>137</v>
      </c>
      <c r="E760">
        <v>60</v>
      </c>
      <c r="F760">
        <v>1</v>
      </c>
      <c r="G760">
        <v>101.29</v>
      </c>
      <c r="H760">
        <v>0</v>
      </c>
      <c r="I760">
        <v>101.29</v>
      </c>
    </row>
    <row r="761" spans="1:9" x14ac:dyDescent="0.25">
      <c r="A761">
        <v>760</v>
      </c>
      <c r="B761" s="9">
        <v>45715</v>
      </c>
      <c r="C761">
        <v>1</v>
      </c>
      <c r="D761">
        <v>106</v>
      </c>
      <c r="E761">
        <v>42</v>
      </c>
      <c r="F761">
        <v>1</v>
      </c>
      <c r="G761">
        <v>127.97</v>
      </c>
      <c r="H761">
        <v>0</v>
      </c>
      <c r="I761">
        <v>127.97</v>
      </c>
    </row>
    <row r="762" spans="1:9" x14ac:dyDescent="0.25">
      <c r="A762">
        <v>761</v>
      </c>
      <c r="B762" s="9">
        <v>45524</v>
      </c>
      <c r="C762">
        <v>7</v>
      </c>
      <c r="D762">
        <v>111</v>
      </c>
      <c r="E762">
        <v>99</v>
      </c>
      <c r="F762">
        <v>1</v>
      </c>
      <c r="G762">
        <v>15.44</v>
      </c>
      <c r="H762">
        <v>0</v>
      </c>
      <c r="I762">
        <v>15.44</v>
      </c>
    </row>
    <row r="763" spans="1:9" x14ac:dyDescent="0.25">
      <c r="A763">
        <v>762</v>
      </c>
      <c r="B763" s="9">
        <v>45721</v>
      </c>
      <c r="C763">
        <v>2</v>
      </c>
      <c r="D763">
        <v>177</v>
      </c>
      <c r="E763">
        <v>82</v>
      </c>
      <c r="F763">
        <v>4</v>
      </c>
      <c r="G763">
        <v>151.85</v>
      </c>
      <c r="H763">
        <v>0.05</v>
      </c>
      <c r="I763">
        <v>577.03</v>
      </c>
    </row>
    <row r="764" spans="1:9" x14ac:dyDescent="0.25">
      <c r="A764">
        <v>763</v>
      </c>
      <c r="B764" s="9">
        <v>45424</v>
      </c>
      <c r="C764">
        <v>3</v>
      </c>
      <c r="D764">
        <v>52</v>
      </c>
      <c r="E764">
        <v>58</v>
      </c>
      <c r="F764">
        <v>4</v>
      </c>
      <c r="G764">
        <v>64.400000000000006</v>
      </c>
      <c r="H764">
        <v>0</v>
      </c>
      <c r="I764">
        <v>257.60000000000002</v>
      </c>
    </row>
    <row r="765" spans="1:9" x14ac:dyDescent="0.25">
      <c r="A765">
        <v>764</v>
      </c>
      <c r="B765" s="9">
        <v>45706</v>
      </c>
      <c r="C765">
        <v>3</v>
      </c>
      <c r="D765">
        <v>195</v>
      </c>
      <c r="E765">
        <v>32</v>
      </c>
      <c r="F765">
        <v>1</v>
      </c>
      <c r="G765">
        <v>47.81</v>
      </c>
      <c r="H765">
        <v>0.1</v>
      </c>
      <c r="I765">
        <v>43.03</v>
      </c>
    </row>
    <row r="766" spans="1:9" x14ac:dyDescent="0.25">
      <c r="A766">
        <v>765</v>
      </c>
      <c r="B766" s="9">
        <v>45211</v>
      </c>
      <c r="C766">
        <v>5</v>
      </c>
      <c r="D766">
        <v>92</v>
      </c>
      <c r="E766">
        <v>80</v>
      </c>
      <c r="F766">
        <v>1</v>
      </c>
      <c r="G766">
        <v>33.380000000000003</v>
      </c>
      <c r="H766">
        <v>0</v>
      </c>
      <c r="I766">
        <v>33.380000000000003</v>
      </c>
    </row>
    <row r="767" spans="1:9" x14ac:dyDescent="0.25">
      <c r="A767">
        <v>766</v>
      </c>
      <c r="B767" s="9">
        <v>45543</v>
      </c>
      <c r="C767">
        <v>5</v>
      </c>
      <c r="D767">
        <v>32</v>
      </c>
      <c r="E767">
        <v>22</v>
      </c>
      <c r="F767">
        <v>1</v>
      </c>
      <c r="G767">
        <v>49.91</v>
      </c>
      <c r="H767">
        <v>0.05</v>
      </c>
      <c r="I767">
        <v>47.41</v>
      </c>
    </row>
    <row r="768" spans="1:9" x14ac:dyDescent="0.25">
      <c r="A768">
        <v>767</v>
      </c>
      <c r="B768" s="9">
        <v>45936</v>
      </c>
      <c r="C768">
        <v>3</v>
      </c>
      <c r="D768">
        <v>174</v>
      </c>
      <c r="E768">
        <v>30</v>
      </c>
      <c r="F768">
        <v>1</v>
      </c>
      <c r="G768">
        <v>19.399999999999999</v>
      </c>
      <c r="H768">
        <v>0</v>
      </c>
      <c r="I768">
        <v>19.399999999999999</v>
      </c>
    </row>
    <row r="769" spans="1:9" x14ac:dyDescent="0.25">
      <c r="A769">
        <v>768</v>
      </c>
      <c r="B769" s="9">
        <v>45056</v>
      </c>
      <c r="C769">
        <v>3</v>
      </c>
      <c r="D769">
        <v>43</v>
      </c>
      <c r="E769">
        <v>4</v>
      </c>
      <c r="F769">
        <v>1</v>
      </c>
      <c r="G769">
        <v>168</v>
      </c>
      <c r="H769">
        <v>0</v>
      </c>
      <c r="I769">
        <v>168</v>
      </c>
    </row>
    <row r="770" spans="1:9" x14ac:dyDescent="0.25">
      <c r="A770">
        <v>769</v>
      </c>
      <c r="B770" s="9">
        <v>45817</v>
      </c>
      <c r="C770">
        <v>5</v>
      </c>
      <c r="D770">
        <v>122</v>
      </c>
      <c r="E770">
        <v>96</v>
      </c>
      <c r="F770">
        <v>2</v>
      </c>
      <c r="G770">
        <v>132.69</v>
      </c>
      <c r="H770">
        <v>0.05</v>
      </c>
      <c r="I770">
        <v>252.11</v>
      </c>
    </row>
    <row r="771" spans="1:9" x14ac:dyDescent="0.25">
      <c r="A771">
        <v>770</v>
      </c>
      <c r="B771" s="9">
        <v>45789</v>
      </c>
      <c r="C771">
        <v>5</v>
      </c>
      <c r="D771">
        <v>6</v>
      </c>
      <c r="E771">
        <v>29</v>
      </c>
      <c r="F771">
        <v>1</v>
      </c>
      <c r="G771">
        <v>138.6</v>
      </c>
      <c r="H771">
        <v>0</v>
      </c>
      <c r="I771">
        <v>138.6</v>
      </c>
    </row>
    <row r="772" spans="1:9" x14ac:dyDescent="0.25">
      <c r="A772">
        <v>771</v>
      </c>
      <c r="B772" s="9">
        <v>45918</v>
      </c>
      <c r="C772">
        <v>2</v>
      </c>
      <c r="D772">
        <v>196</v>
      </c>
      <c r="E772">
        <v>91</v>
      </c>
      <c r="F772">
        <v>1</v>
      </c>
      <c r="G772">
        <v>33.700000000000003</v>
      </c>
      <c r="H772">
        <v>0</v>
      </c>
      <c r="I772">
        <v>33.700000000000003</v>
      </c>
    </row>
    <row r="773" spans="1:9" x14ac:dyDescent="0.25">
      <c r="A773">
        <v>772</v>
      </c>
      <c r="B773" s="9">
        <v>45666</v>
      </c>
      <c r="C773">
        <v>5</v>
      </c>
      <c r="D773">
        <v>92</v>
      </c>
      <c r="E773">
        <v>26</v>
      </c>
      <c r="F773">
        <v>2</v>
      </c>
      <c r="G773">
        <v>211.87</v>
      </c>
      <c r="H773">
        <v>0.05</v>
      </c>
      <c r="I773">
        <v>402.55</v>
      </c>
    </row>
    <row r="774" spans="1:9" x14ac:dyDescent="0.25">
      <c r="A774">
        <v>773</v>
      </c>
      <c r="B774" s="9">
        <v>45432</v>
      </c>
      <c r="C774">
        <v>8</v>
      </c>
      <c r="D774">
        <v>141</v>
      </c>
      <c r="E774">
        <v>66</v>
      </c>
      <c r="F774">
        <v>1</v>
      </c>
      <c r="G774">
        <v>169.57</v>
      </c>
      <c r="H774">
        <v>0</v>
      </c>
      <c r="I774">
        <v>169.57</v>
      </c>
    </row>
    <row r="775" spans="1:9" x14ac:dyDescent="0.25">
      <c r="A775">
        <v>774</v>
      </c>
      <c r="B775" s="9">
        <v>45327</v>
      </c>
      <c r="C775">
        <v>8</v>
      </c>
      <c r="D775">
        <v>164</v>
      </c>
      <c r="E775">
        <v>45</v>
      </c>
      <c r="F775">
        <v>1</v>
      </c>
      <c r="G775">
        <v>70.989999999999995</v>
      </c>
      <c r="H775">
        <v>0.15</v>
      </c>
      <c r="I775">
        <v>60.34</v>
      </c>
    </row>
    <row r="776" spans="1:9" x14ac:dyDescent="0.25">
      <c r="A776">
        <v>775</v>
      </c>
      <c r="B776" s="9">
        <v>45146</v>
      </c>
      <c r="C776">
        <v>3</v>
      </c>
      <c r="D776">
        <v>79</v>
      </c>
      <c r="E776">
        <v>8</v>
      </c>
      <c r="F776">
        <v>2</v>
      </c>
      <c r="G776">
        <v>259.11</v>
      </c>
      <c r="H776">
        <v>0</v>
      </c>
      <c r="I776">
        <v>518.22</v>
      </c>
    </row>
    <row r="777" spans="1:9" x14ac:dyDescent="0.25">
      <c r="A777">
        <v>776</v>
      </c>
      <c r="B777" s="9">
        <v>45550</v>
      </c>
      <c r="C777">
        <v>1</v>
      </c>
      <c r="D777">
        <v>161</v>
      </c>
      <c r="E777">
        <v>30</v>
      </c>
      <c r="F777">
        <v>3</v>
      </c>
      <c r="G777">
        <v>19.399999999999999</v>
      </c>
      <c r="H777">
        <v>0.1</v>
      </c>
      <c r="I777">
        <v>52.38</v>
      </c>
    </row>
    <row r="778" spans="1:9" x14ac:dyDescent="0.25">
      <c r="A778">
        <v>777</v>
      </c>
      <c r="B778" s="9">
        <v>45737</v>
      </c>
      <c r="C778">
        <v>6</v>
      </c>
      <c r="D778">
        <v>105</v>
      </c>
      <c r="E778">
        <v>57</v>
      </c>
      <c r="F778">
        <v>1</v>
      </c>
      <c r="G778">
        <v>32.28</v>
      </c>
      <c r="H778">
        <v>0.05</v>
      </c>
      <c r="I778">
        <v>30.67</v>
      </c>
    </row>
    <row r="779" spans="1:9" x14ac:dyDescent="0.25">
      <c r="A779">
        <v>778</v>
      </c>
      <c r="B779" s="9">
        <v>45705</v>
      </c>
      <c r="C779">
        <v>6</v>
      </c>
      <c r="D779">
        <v>93</v>
      </c>
      <c r="E779">
        <v>44</v>
      </c>
      <c r="F779">
        <v>1</v>
      </c>
      <c r="G779">
        <v>235.19</v>
      </c>
      <c r="H779">
        <v>0</v>
      </c>
      <c r="I779">
        <v>235.19</v>
      </c>
    </row>
    <row r="780" spans="1:9" x14ac:dyDescent="0.25">
      <c r="A780">
        <v>779</v>
      </c>
      <c r="B780" s="9">
        <v>45828</v>
      </c>
      <c r="C780">
        <v>6</v>
      </c>
      <c r="D780">
        <v>133</v>
      </c>
      <c r="E780">
        <v>71</v>
      </c>
      <c r="F780">
        <v>1</v>
      </c>
      <c r="G780">
        <v>225.61</v>
      </c>
      <c r="H780">
        <v>0</v>
      </c>
      <c r="I780">
        <v>225.61</v>
      </c>
    </row>
    <row r="781" spans="1:9" x14ac:dyDescent="0.25">
      <c r="A781">
        <v>780</v>
      </c>
      <c r="B781" s="9">
        <v>45808</v>
      </c>
      <c r="C781">
        <v>3</v>
      </c>
      <c r="D781">
        <v>193</v>
      </c>
      <c r="E781">
        <v>29</v>
      </c>
      <c r="F781">
        <v>1</v>
      </c>
      <c r="G781">
        <v>138.6</v>
      </c>
      <c r="H781">
        <v>0</v>
      </c>
      <c r="I781">
        <v>138.6</v>
      </c>
    </row>
    <row r="782" spans="1:9" x14ac:dyDescent="0.25">
      <c r="A782">
        <v>781</v>
      </c>
      <c r="B782" s="9">
        <v>45542</v>
      </c>
      <c r="C782">
        <v>6</v>
      </c>
      <c r="D782">
        <v>42</v>
      </c>
      <c r="E782">
        <v>43</v>
      </c>
      <c r="F782">
        <v>1</v>
      </c>
      <c r="G782">
        <v>16.04</v>
      </c>
      <c r="H782">
        <v>0</v>
      </c>
      <c r="I782">
        <v>16.04</v>
      </c>
    </row>
    <row r="783" spans="1:9" x14ac:dyDescent="0.25">
      <c r="A783">
        <v>782</v>
      </c>
      <c r="B783" s="9">
        <v>45338</v>
      </c>
      <c r="C783">
        <v>8</v>
      </c>
      <c r="D783">
        <v>110</v>
      </c>
      <c r="E783">
        <v>39</v>
      </c>
      <c r="F783">
        <v>1</v>
      </c>
      <c r="G783">
        <v>181.34</v>
      </c>
      <c r="H783">
        <v>0</v>
      </c>
      <c r="I783">
        <v>181.34</v>
      </c>
    </row>
    <row r="784" spans="1:9" x14ac:dyDescent="0.25">
      <c r="A784">
        <v>783</v>
      </c>
      <c r="B784" s="9">
        <v>45570</v>
      </c>
      <c r="C784">
        <v>3</v>
      </c>
      <c r="D784">
        <v>114</v>
      </c>
      <c r="E784">
        <v>15</v>
      </c>
      <c r="F784">
        <v>1</v>
      </c>
      <c r="G784">
        <v>58.26</v>
      </c>
      <c r="H784">
        <v>0.1</v>
      </c>
      <c r="I784">
        <v>52.43</v>
      </c>
    </row>
    <row r="785" spans="1:9" x14ac:dyDescent="0.25">
      <c r="A785">
        <v>784</v>
      </c>
      <c r="B785" s="9">
        <v>45742</v>
      </c>
      <c r="C785">
        <v>6</v>
      </c>
      <c r="D785">
        <v>30</v>
      </c>
      <c r="E785">
        <v>57</v>
      </c>
      <c r="F785">
        <v>1</v>
      </c>
      <c r="G785">
        <v>32.28</v>
      </c>
      <c r="H785">
        <v>0.2</v>
      </c>
      <c r="I785">
        <v>25.82</v>
      </c>
    </row>
    <row r="786" spans="1:9" x14ac:dyDescent="0.25">
      <c r="A786">
        <v>785</v>
      </c>
      <c r="B786" s="9">
        <v>45523</v>
      </c>
      <c r="C786">
        <v>8</v>
      </c>
      <c r="D786">
        <v>71</v>
      </c>
      <c r="E786">
        <v>46</v>
      </c>
      <c r="F786">
        <v>1</v>
      </c>
      <c r="G786">
        <v>157</v>
      </c>
      <c r="H786">
        <v>0</v>
      </c>
      <c r="I786">
        <v>157</v>
      </c>
    </row>
    <row r="787" spans="1:9" x14ac:dyDescent="0.25">
      <c r="A787">
        <v>786</v>
      </c>
      <c r="B787" s="9">
        <v>45423</v>
      </c>
      <c r="C787">
        <v>6</v>
      </c>
      <c r="D787">
        <v>93</v>
      </c>
      <c r="E787">
        <v>43</v>
      </c>
      <c r="F787">
        <v>1</v>
      </c>
      <c r="G787">
        <v>16.04</v>
      </c>
      <c r="H787">
        <v>0</v>
      </c>
      <c r="I787">
        <v>16.04</v>
      </c>
    </row>
    <row r="788" spans="1:9" x14ac:dyDescent="0.25">
      <c r="A788">
        <v>787</v>
      </c>
      <c r="B788" s="9">
        <v>45697</v>
      </c>
      <c r="C788">
        <v>5</v>
      </c>
      <c r="D788">
        <v>137</v>
      </c>
      <c r="E788">
        <v>8</v>
      </c>
      <c r="F788">
        <v>1</v>
      </c>
      <c r="G788">
        <v>259.11</v>
      </c>
      <c r="H788">
        <v>0</v>
      </c>
      <c r="I788">
        <v>259.11</v>
      </c>
    </row>
    <row r="789" spans="1:9" x14ac:dyDescent="0.25">
      <c r="A789">
        <v>788</v>
      </c>
      <c r="B789" s="9">
        <v>45731</v>
      </c>
      <c r="C789">
        <v>6</v>
      </c>
      <c r="D789">
        <v>108</v>
      </c>
      <c r="E789">
        <v>26</v>
      </c>
      <c r="F789">
        <v>1</v>
      </c>
      <c r="G789">
        <v>211.87</v>
      </c>
      <c r="H789">
        <v>0.05</v>
      </c>
      <c r="I789">
        <v>201.28</v>
      </c>
    </row>
    <row r="790" spans="1:9" x14ac:dyDescent="0.25">
      <c r="A790">
        <v>789</v>
      </c>
      <c r="B790" s="9">
        <v>45160</v>
      </c>
      <c r="C790">
        <v>4</v>
      </c>
      <c r="D790">
        <v>107</v>
      </c>
      <c r="E790">
        <v>24</v>
      </c>
      <c r="F790">
        <v>1</v>
      </c>
      <c r="G790">
        <v>91.73</v>
      </c>
      <c r="H790">
        <v>0</v>
      </c>
      <c r="I790">
        <v>91.73</v>
      </c>
    </row>
    <row r="791" spans="1:9" x14ac:dyDescent="0.25">
      <c r="A791">
        <v>790</v>
      </c>
      <c r="B791" s="9">
        <v>45295</v>
      </c>
      <c r="C791">
        <v>1</v>
      </c>
      <c r="D791">
        <v>100</v>
      </c>
      <c r="E791">
        <v>84</v>
      </c>
      <c r="F791">
        <v>1</v>
      </c>
      <c r="G791">
        <v>26.78</v>
      </c>
      <c r="H791">
        <v>0</v>
      </c>
      <c r="I791">
        <v>26.78</v>
      </c>
    </row>
    <row r="792" spans="1:9" x14ac:dyDescent="0.25">
      <c r="A792">
        <v>791</v>
      </c>
      <c r="B792" s="9">
        <v>45872</v>
      </c>
      <c r="C792">
        <v>4</v>
      </c>
      <c r="D792">
        <v>50</v>
      </c>
      <c r="E792">
        <v>17</v>
      </c>
      <c r="F792">
        <v>1</v>
      </c>
      <c r="G792">
        <v>97.14</v>
      </c>
      <c r="H792">
        <v>0</v>
      </c>
      <c r="I792">
        <v>97.14</v>
      </c>
    </row>
    <row r="793" spans="1:9" x14ac:dyDescent="0.25">
      <c r="A793">
        <v>792</v>
      </c>
      <c r="B793" s="9">
        <v>45824</v>
      </c>
      <c r="C793">
        <v>5</v>
      </c>
      <c r="D793">
        <v>128</v>
      </c>
      <c r="E793">
        <v>20</v>
      </c>
      <c r="F793">
        <v>1</v>
      </c>
      <c r="G793">
        <v>85.89</v>
      </c>
      <c r="H793">
        <v>0.05</v>
      </c>
      <c r="I793">
        <v>81.599999999999994</v>
      </c>
    </row>
    <row r="794" spans="1:9" x14ac:dyDescent="0.25">
      <c r="A794">
        <v>793</v>
      </c>
      <c r="B794" s="9">
        <v>45068</v>
      </c>
      <c r="C794">
        <v>7</v>
      </c>
      <c r="D794">
        <v>34</v>
      </c>
      <c r="E794">
        <v>16</v>
      </c>
      <c r="F794">
        <v>1</v>
      </c>
      <c r="G794">
        <v>62.77</v>
      </c>
      <c r="H794">
        <v>0.2</v>
      </c>
      <c r="I794">
        <v>50.22</v>
      </c>
    </row>
    <row r="795" spans="1:9" x14ac:dyDescent="0.25">
      <c r="A795">
        <v>794</v>
      </c>
      <c r="B795" s="9">
        <v>45949</v>
      </c>
      <c r="C795">
        <v>3</v>
      </c>
      <c r="D795">
        <v>23</v>
      </c>
      <c r="E795">
        <v>18</v>
      </c>
      <c r="F795">
        <v>1</v>
      </c>
      <c r="G795">
        <v>132.02000000000001</v>
      </c>
      <c r="H795">
        <v>0.05</v>
      </c>
      <c r="I795">
        <v>125.42</v>
      </c>
    </row>
    <row r="796" spans="1:9" x14ac:dyDescent="0.25">
      <c r="A796">
        <v>795</v>
      </c>
      <c r="B796" s="9">
        <v>45547</v>
      </c>
      <c r="C796">
        <v>4</v>
      </c>
      <c r="D796">
        <v>150</v>
      </c>
      <c r="E796">
        <v>87</v>
      </c>
      <c r="F796">
        <v>1</v>
      </c>
      <c r="G796">
        <v>223.85</v>
      </c>
      <c r="H796">
        <v>0</v>
      </c>
      <c r="I796">
        <v>223.85</v>
      </c>
    </row>
    <row r="797" spans="1:9" x14ac:dyDescent="0.25">
      <c r="A797">
        <v>796</v>
      </c>
      <c r="B797" s="9">
        <v>45444</v>
      </c>
      <c r="C797">
        <v>3</v>
      </c>
      <c r="D797">
        <v>130</v>
      </c>
      <c r="E797">
        <v>61</v>
      </c>
      <c r="F797">
        <v>1</v>
      </c>
      <c r="G797">
        <v>106.64</v>
      </c>
      <c r="H797">
        <v>0</v>
      </c>
      <c r="I797">
        <v>106.64</v>
      </c>
    </row>
    <row r="798" spans="1:9" x14ac:dyDescent="0.25">
      <c r="A798">
        <v>797</v>
      </c>
      <c r="B798" s="9">
        <v>45793</v>
      </c>
      <c r="C798">
        <v>7</v>
      </c>
      <c r="D798">
        <v>192</v>
      </c>
      <c r="E798">
        <v>32</v>
      </c>
      <c r="F798">
        <v>2</v>
      </c>
      <c r="G798">
        <v>47.81</v>
      </c>
      <c r="H798">
        <v>0</v>
      </c>
      <c r="I798">
        <v>95.62</v>
      </c>
    </row>
    <row r="799" spans="1:9" x14ac:dyDescent="0.25">
      <c r="A799">
        <v>798</v>
      </c>
      <c r="B799" s="9">
        <v>45078</v>
      </c>
      <c r="C799">
        <v>8</v>
      </c>
      <c r="D799">
        <v>184</v>
      </c>
      <c r="E799">
        <v>35</v>
      </c>
      <c r="F799">
        <v>1</v>
      </c>
      <c r="G799">
        <v>303.48</v>
      </c>
      <c r="H799">
        <v>0</v>
      </c>
      <c r="I799">
        <v>303.48</v>
      </c>
    </row>
    <row r="800" spans="1:9" x14ac:dyDescent="0.25">
      <c r="A800">
        <v>799</v>
      </c>
      <c r="B800" s="9">
        <v>45908</v>
      </c>
      <c r="C800">
        <v>7</v>
      </c>
      <c r="D800">
        <v>208</v>
      </c>
      <c r="E800">
        <v>38</v>
      </c>
      <c r="F800">
        <v>1</v>
      </c>
      <c r="G800">
        <v>35.35</v>
      </c>
      <c r="H800">
        <v>0.2</v>
      </c>
      <c r="I800">
        <v>28.28</v>
      </c>
    </row>
    <row r="801" spans="1:9" x14ac:dyDescent="0.25">
      <c r="A801">
        <v>800</v>
      </c>
      <c r="B801" s="9">
        <v>45964</v>
      </c>
      <c r="C801">
        <v>7</v>
      </c>
      <c r="D801">
        <v>218</v>
      </c>
      <c r="E801">
        <v>32</v>
      </c>
      <c r="F801">
        <v>2</v>
      </c>
      <c r="G801">
        <v>47.81</v>
      </c>
      <c r="H801">
        <v>0</v>
      </c>
      <c r="I801">
        <v>95.62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DDB9-C3CE-4DF6-AA68-B00A71889972}">
  <dimension ref="A1:E101"/>
  <sheetViews>
    <sheetView workbookViewId="0"/>
  </sheetViews>
  <sheetFormatPr defaultRowHeight="15" x14ac:dyDescent="0.25"/>
  <cols>
    <col min="1" max="1" width="12.85546875" bestFit="1" customWidth="1"/>
    <col min="2" max="2" width="10.85546875" bestFit="1" customWidth="1"/>
    <col min="3" max="3" width="16.28515625" bestFit="1" customWidth="1"/>
    <col min="4" max="4" width="12.28515625" bestFit="1" customWidth="1"/>
    <col min="5" max="5" width="14.5703125" bestFit="1" customWidth="1"/>
  </cols>
  <sheetData>
    <row r="1" spans="1:5" x14ac:dyDescent="0.25">
      <c r="A1" t="s">
        <v>4</v>
      </c>
      <c r="B1" t="s">
        <v>827</v>
      </c>
      <c r="C1" t="s">
        <v>828</v>
      </c>
      <c r="D1" t="s">
        <v>829</v>
      </c>
      <c r="E1" t="s">
        <v>830</v>
      </c>
    </row>
    <row r="2" spans="1:5" x14ac:dyDescent="0.25">
      <c r="A2">
        <v>1</v>
      </c>
      <c r="B2" t="s">
        <v>831</v>
      </c>
      <c r="C2" t="s">
        <v>832</v>
      </c>
      <c r="D2">
        <v>78.040000000000006</v>
      </c>
      <c r="E2">
        <v>90.53</v>
      </c>
    </row>
    <row r="3" spans="1:5" x14ac:dyDescent="0.25">
      <c r="A3">
        <v>2</v>
      </c>
      <c r="B3" t="s">
        <v>833</v>
      </c>
      <c r="C3" t="s">
        <v>834</v>
      </c>
      <c r="D3">
        <v>190.39</v>
      </c>
      <c r="E3">
        <v>274.16000000000003</v>
      </c>
    </row>
    <row r="4" spans="1:5" x14ac:dyDescent="0.25">
      <c r="A4">
        <v>3</v>
      </c>
      <c r="B4" t="s">
        <v>833</v>
      </c>
      <c r="C4" t="s">
        <v>835</v>
      </c>
      <c r="D4">
        <v>147.74</v>
      </c>
      <c r="E4">
        <v>190.58</v>
      </c>
    </row>
    <row r="5" spans="1:5" x14ac:dyDescent="0.25">
      <c r="A5">
        <v>4</v>
      </c>
      <c r="B5" t="s">
        <v>831</v>
      </c>
      <c r="C5" t="s">
        <v>836</v>
      </c>
      <c r="D5">
        <v>121.74</v>
      </c>
      <c r="E5">
        <v>168</v>
      </c>
    </row>
    <row r="6" spans="1:5" x14ac:dyDescent="0.25">
      <c r="A6">
        <v>5</v>
      </c>
      <c r="B6" t="s">
        <v>837</v>
      </c>
      <c r="C6" t="s">
        <v>838</v>
      </c>
      <c r="D6">
        <v>35.42</v>
      </c>
      <c r="E6">
        <v>55.26</v>
      </c>
    </row>
    <row r="7" spans="1:5" x14ac:dyDescent="0.25">
      <c r="A7">
        <v>6</v>
      </c>
      <c r="B7" t="s">
        <v>839</v>
      </c>
      <c r="C7" t="s">
        <v>840</v>
      </c>
      <c r="D7">
        <v>35.42</v>
      </c>
      <c r="E7">
        <v>44.63</v>
      </c>
    </row>
    <row r="8" spans="1:5" x14ac:dyDescent="0.25">
      <c r="A8">
        <v>7</v>
      </c>
      <c r="B8" t="s">
        <v>839</v>
      </c>
      <c r="C8" t="s">
        <v>841</v>
      </c>
      <c r="D8">
        <v>16.329999999999998</v>
      </c>
      <c r="E8">
        <v>21.72</v>
      </c>
    </row>
    <row r="9" spans="1:5" x14ac:dyDescent="0.25">
      <c r="A9">
        <v>8</v>
      </c>
      <c r="B9" t="s">
        <v>839</v>
      </c>
      <c r="C9" t="s">
        <v>842</v>
      </c>
      <c r="D9">
        <v>173.9</v>
      </c>
      <c r="E9">
        <v>259.11</v>
      </c>
    </row>
    <row r="10" spans="1:5" x14ac:dyDescent="0.25">
      <c r="A10">
        <v>9</v>
      </c>
      <c r="B10" t="s">
        <v>831</v>
      </c>
      <c r="C10" t="s">
        <v>843</v>
      </c>
      <c r="D10">
        <v>122.22</v>
      </c>
      <c r="E10">
        <v>152.78</v>
      </c>
    </row>
    <row r="11" spans="1:5" x14ac:dyDescent="0.25">
      <c r="A11">
        <v>10</v>
      </c>
      <c r="B11" t="s">
        <v>833</v>
      </c>
      <c r="C11" t="s">
        <v>844</v>
      </c>
      <c r="D11">
        <v>143.07</v>
      </c>
      <c r="E11">
        <v>168.82</v>
      </c>
    </row>
    <row r="12" spans="1:5" x14ac:dyDescent="0.25">
      <c r="A12">
        <v>11</v>
      </c>
      <c r="B12" t="s">
        <v>831</v>
      </c>
      <c r="C12" t="s">
        <v>845</v>
      </c>
      <c r="D12">
        <v>9.01</v>
      </c>
      <c r="E12">
        <v>11.53</v>
      </c>
    </row>
    <row r="13" spans="1:5" x14ac:dyDescent="0.25">
      <c r="A13">
        <v>12</v>
      </c>
      <c r="B13" t="s">
        <v>831</v>
      </c>
      <c r="C13" t="s">
        <v>846</v>
      </c>
      <c r="D13">
        <v>194.13</v>
      </c>
      <c r="E13">
        <v>236.84</v>
      </c>
    </row>
    <row r="14" spans="1:5" x14ac:dyDescent="0.25">
      <c r="A14">
        <v>13</v>
      </c>
      <c r="B14" t="s">
        <v>847</v>
      </c>
      <c r="C14" t="s">
        <v>848</v>
      </c>
      <c r="D14">
        <v>167.33</v>
      </c>
      <c r="E14">
        <v>262.70999999999998</v>
      </c>
    </row>
    <row r="15" spans="1:5" x14ac:dyDescent="0.25">
      <c r="A15">
        <v>14</v>
      </c>
      <c r="B15" t="s">
        <v>833</v>
      </c>
      <c r="C15" t="s">
        <v>849</v>
      </c>
      <c r="D15">
        <v>46.41</v>
      </c>
      <c r="E15">
        <v>70.08</v>
      </c>
    </row>
    <row r="16" spans="1:5" x14ac:dyDescent="0.25">
      <c r="A16">
        <v>15</v>
      </c>
      <c r="B16" t="s">
        <v>847</v>
      </c>
      <c r="C16" t="s">
        <v>850</v>
      </c>
      <c r="D16">
        <v>40.46</v>
      </c>
      <c r="E16">
        <v>58.26</v>
      </c>
    </row>
    <row r="17" spans="1:5" x14ac:dyDescent="0.25">
      <c r="A17">
        <v>16</v>
      </c>
      <c r="B17" t="s">
        <v>851</v>
      </c>
      <c r="C17" t="s">
        <v>852</v>
      </c>
      <c r="D17">
        <v>40.76</v>
      </c>
      <c r="E17">
        <v>62.77</v>
      </c>
    </row>
    <row r="18" spans="1:5" x14ac:dyDescent="0.25">
      <c r="A18">
        <v>17</v>
      </c>
      <c r="B18" t="s">
        <v>833</v>
      </c>
      <c r="C18" t="s">
        <v>853</v>
      </c>
      <c r="D18">
        <v>64.33</v>
      </c>
      <c r="E18">
        <v>97.14</v>
      </c>
    </row>
    <row r="19" spans="1:5" x14ac:dyDescent="0.25">
      <c r="A19">
        <v>18</v>
      </c>
      <c r="B19" t="s">
        <v>833</v>
      </c>
      <c r="C19" t="s">
        <v>854</v>
      </c>
      <c r="D19">
        <v>107.33</v>
      </c>
      <c r="E19">
        <v>132.02000000000001</v>
      </c>
    </row>
    <row r="20" spans="1:5" x14ac:dyDescent="0.25">
      <c r="A20">
        <v>19</v>
      </c>
      <c r="B20" t="s">
        <v>833</v>
      </c>
      <c r="C20" t="s">
        <v>855</v>
      </c>
      <c r="D20">
        <v>89.23</v>
      </c>
      <c r="E20">
        <v>138.31</v>
      </c>
    </row>
    <row r="21" spans="1:5" x14ac:dyDescent="0.25">
      <c r="A21">
        <v>20</v>
      </c>
      <c r="B21" t="s">
        <v>839</v>
      </c>
      <c r="C21" t="s">
        <v>856</v>
      </c>
      <c r="D21">
        <v>61.79</v>
      </c>
      <c r="E21">
        <v>85.89</v>
      </c>
    </row>
    <row r="22" spans="1:5" x14ac:dyDescent="0.25">
      <c r="A22">
        <v>21</v>
      </c>
      <c r="B22" t="s">
        <v>839</v>
      </c>
      <c r="C22" t="s">
        <v>857</v>
      </c>
      <c r="D22">
        <v>124.31</v>
      </c>
      <c r="E22">
        <v>187.71</v>
      </c>
    </row>
    <row r="23" spans="1:5" x14ac:dyDescent="0.25">
      <c r="A23">
        <v>22</v>
      </c>
      <c r="B23" t="s">
        <v>847</v>
      </c>
      <c r="C23" t="s">
        <v>858</v>
      </c>
      <c r="D23">
        <v>32.200000000000003</v>
      </c>
      <c r="E23">
        <v>49.91</v>
      </c>
    </row>
    <row r="24" spans="1:5" x14ac:dyDescent="0.25">
      <c r="A24">
        <v>23</v>
      </c>
      <c r="B24" t="s">
        <v>847</v>
      </c>
      <c r="C24" t="s">
        <v>859</v>
      </c>
      <c r="D24">
        <v>61.97</v>
      </c>
      <c r="E24">
        <v>79.94</v>
      </c>
    </row>
    <row r="25" spans="1:5" x14ac:dyDescent="0.25">
      <c r="A25">
        <v>24</v>
      </c>
      <c r="B25" t="s">
        <v>833</v>
      </c>
      <c r="C25" t="s">
        <v>860</v>
      </c>
      <c r="D25">
        <v>76.44</v>
      </c>
      <c r="E25">
        <v>91.73</v>
      </c>
    </row>
    <row r="26" spans="1:5" x14ac:dyDescent="0.25">
      <c r="A26">
        <v>25</v>
      </c>
      <c r="B26" t="s">
        <v>847</v>
      </c>
      <c r="C26" t="s">
        <v>861</v>
      </c>
      <c r="D26">
        <v>93.93</v>
      </c>
      <c r="E26">
        <v>117.41</v>
      </c>
    </row>
    <row r="27" spans="1:5" x14ac:dyDescent="0.25">
      <c r="A27">
        <v>26</v>
      </c>
      <c r="B27" t="s">
        <v>839</v>
      </c>
      <c r="C27" t="s">
        <v>862</v>
      </c>
      <c r="D27">
        <v>158.11000000000001</v>
      </c>
      <c r="E27">
        <v>211.87</v>
      </c>
    </row>
    <row r="28" spans="1:5" x14ac:dyDescent="0.25">
      <c r="A28">
        <v>27</v>
      </c>
      <c r="B28" t="s">
        <v>831</v>
      </c>
      <c r="C28" t="s">
        <v>863</v>
      </c>
      <c r="D28">
        <v>43.94</v>
      </c>
      <c r="E28">
        <v>66.790000000000006</v>
      </c>
    </row>
    <row r="29" spans="1:5" x14ac:dyDescent="0.25">
      <c r="A29">
        <v>28</v>
      </c>
      <c r="B29" t="s">
        <v>831</v>
      </c>
      <c r="C29" t="s">
        <v>864</v>
      </c>
      <c r="D29">
        <v>105.28</v>
      </c>
      <c r="E29">
        <v>162.13</v>
      </c>
    </row>
    <row r="30" spans="1:5" x14ac:dyDescent="0.25">
      <c r="A30">
        <v>29</v>
      </c>
      <c r="B30" t="s">
        <v>831</v>
      </c>
      <c r="C30" t="s">
        <v>865</v>
      </c>
      <c r="D30">
        <v>120.52</v>
      </c>
      <c r="E30">
        <v>138.6</v>
      </c>
    </row>
    <row r="31" spans="1:5" x14ac:dyDescent="0.25">
      <c r="A31">
        <v>30</v>
      </c>
      <c r="B31" t="s">
        <v>847</v>
      </c>
      <c r="C31" t="s">
        <v>866</v>
      </c>
      <c r="D31">
        <v>14.06</v>
      </c>
      <c r="E31">
        <v>19.399999999999999</v>
      </c>
    </row>
    <row r="32" spans="1:5" x14ac:dyDescent="0.25">
      <c r="A32">
        <v>31</v>
      </c>
      <c r="B32" t="s">
        <v>851</v>
      </c>
      <c r="C32" t="s">
        <v>867</v>
      </c>
      <c r="D32">
        <v>123.47</v>
      </c>
      <c r="E32">
        <v>165.45</v>
      </c>
    </row>
    <row r="33" spans="1:5" x14ac:dyDescent="0.25">
      <c r="A33">
        <v>32</v>
      </c>
      <c r="B33" t="s">
        <v>839</v>
      </c>
      <c r="C33" t="s">
        <v>868</v>
      </c>
      <c r="D33">
        <v>38.25</v>
      </c>
      <c r="E33">
        <v>47.81</v>
      </c>
    </row>
    <row r="34" spans="1:5" x14ac:dyDescent="0.25">
      <c r="A34">
        <v>33</v>
      </c>
      <c r="B34" t="s">
        <v>851</v>
      </c>
      <c r="C34" t="s">
        <v>869</v>
      </c>
      <c r="D34">
        <v>17.690000000000001</v>
      </c>
      <c r="E34">
        <v>21.23</v>
      </c>
    </row>
    <row r="35" spans="1:5" x14ac:dyDescent="0.25">
      <c r="A35">
        <v>34</v>
      </c>
      <c r="B35" t="s">
        <v>847</v>
      </c>
      <c r="C35" t="s">
        <v>870</v>
      </c>
      <c r="D35">
        <v>190.03</v>
      </c>
      <c r="E35">
        <v>247.04</v>
      </c>
    </row>
    <row r="36" spans="1:5" x14ac:dyDescent="0.25">
      <c r="A36">
        <v>35</v>
      </c>
      <c r="B36" t="s">
        <v>837</v>
      </c>
      <c r="C36" t="s">
        <v>871</v>
      </c>
      <c r="D36">
        <v>193.3</v>
      </c>
      <c r="E36">
        <v>303.48</v>
      </c>
    </row>
    <row r="37" spans="1:5" x14ac:dyDescent="0.25">
      <c r="A37">
        <v>36</v>
      </c>
      <c r="B37" t="s">
        <v>872</v>
      </c>
      <c r="C37" t="s">
        <v>873</v>
      </c>
      <c r="D37">
        <v>162.63999999999999</v>
      </c>
      <c r="E37">
        <v>211.43</v>
      </c>
    </row>
    <row r="38" spans="1:5" x14ac:dyDescent="0.25">
      <c r="A38">
        <v>37</v>
      </c>
      <c r="B38" t="s">
        <v>872</v>
      </c>
      <c r="C38" t="s">
        <v>874</v>
      </c>
      <c r="D38">
        <v>64.400000000000006</v>
      </c>
      <c r="E38">
        <v>88.87</v>
      </c>
    </row>
    <row r="39" spans="1:5" x14ac:dyDescent="0.25">
      <c r="A39">
        <v>38</v>
      </c>
      <c r="B39" t="s">
        <v>833</v>
      </c>
      <c r="C39" t="s">
        <v>875</v>
      </c>
      <c r="D39">
        <v>24.05</v>
      </c>
      <c r="E39">
        <v>35.35</v>
      </c>
    </row>
    <row r="40" spans="1:5" x14ac:dyDescent="0.25">
      <c r="A40">
        <v>39</v>
      </c>
      <c r="B40" t="s">
        <v>872</v>
      </c>
      <c r="C40" t="s">
        <v>876</v>
      </c>
      <c r="D40">
        <v>138.43</v>
      </c>
      <c r="E40">
        <v>181.34</v>
      </c>
    </row>
    <row r="41" spans="1:5" x14ac:dyDescent="0.25">
      <c r="A41">
        <v>40</v>
      </c>
      <c r="B41" t="s">
        <v>872</v>
      </c>
      <c r="C41" t="s">
        <v>877</v>
      </c>
      <c r="D41">
        <v>90.83</v>
      </c>
      <c r="E41">
        <v>144.41999999999999</v>
      </c>
    </row>
    <row r="42" spans="1:5" x14ac:dyDescent="0.25">
      <c r="A42">
        <v>41</v>
      </c>
      <c r="B42" t="s">
        <v>839</v>
      </c>
      <c r="C42" t="s">
        <v>878</v>
      </c>
      <c r="D42">
        <v>28.8</v>
      </c>
      <c r="E42">
        <v>45.5</v>
      </c>
    </row>
    <row r="43" spans="1:5" x14ac:dyDescent="0.25">
      <c r="A43">
        <v>42</v>
      </c>
      <c r="B43" t="s">
        <v>831</v>
      </c>
      <c r="C43" t="s">
        <v>879</v>
      </c>
      <c r="D43">
        <v>101.56</v>
      </c>
      <c r="E43">
        <v>127.97</v>
      </c>
    </row>
    <row r="44" spans="1:5" x14ac:dyDescent="0.25">
      <c r="A44">
        <v>43</v>
      </c>
      <c r="B44" t="s">
        <v>851</v>
      </c>
      <c r="C44" t="s">
        <v>880</v>
      </c>
      <c r="D44">
        <v>11.71</v>
      </c>
      <c r="E44">
        <v>16.04</v>
      </c>
    </row>
    <row r="45" spans="1:5" x14ac:dyDescent="0.25">
      <c r="A45">
        <v>44</v>
      </c>
      <c r="B45" t="s">
        <v>837</v>
      </c>
      <c r="C45" t="s">
        <v>881</v>
      </c>
      <c r="D45">
        <v>182.32</v>
      </c>
      <c r="E45">
        <v>235.19</v>
      </c>
    </row>
    <row r="46" spans="1:5" x14ac:dyDescent="0.25">
      <c r="A46">
        <v>45</v>
      </c>
      <c r="B46" t="s">
        <v>837</v>
      </c>
      <c r="C46" t="s">
        <v>882</v>
      </c>
      <c r="D46">
        <v>55.46</v>
      </c>
      <c r="E46">
        <v>70.989999999999995</v>
      </c>
    </row>
    <row r="47" spans="1:5" x14ac:dyDescent="0.25">
      <c r="A47">
        <v>46</v>
      </c>
      <c r="B47" t="s">
        <v>839</v>
      </c>
      <c r="C47" t="s">
        <v>883</v>
      </c>
      <c r="D47">
        <v>134.19</v>
      </c>
      <c r="E47">
        <v>157</v>
      </c>
    </row>
    <row r="48" spans="1:5" x14ac:dyDescent="0.25">
      <c r="A48">
        <v>47</v>
      </c>
      <c r="B48" t="s">
        <v>839</v>
      </c>
      <c r="C48" t="s">
        <v>884</v>
      </c>
      <c r="D48">
        <v>65.78</v>
      </c>
      <c r="E48">
        <v>93.41</v>
      </c>
    </row>
    <row r="49" spans="1:5" x14ac:dyDescent="0.25">
      <c r="A49">
        <v>48</v>
      </c>
      <c r="B49" t="s">
        <v>872</v>
      </c>
      <c r="C49" t="s">
        <v>885</v>
      </c>
      <c r="D49">
        <v>106.41</v>
      </c>
      <c r="E49">
        <v>146.85</v>
      </c>
    </row>
    <row r="50" spans="1:5" x14ac:dyDescent="0.25">
      <c r="A50">
        <v>49</v>
      </c>
      <c r="B50" t="s">
        <v>837</v>
      </c>
      <c r="C50" t="s">
        <v>886</v>
      </c>
      <c r="D50">
        <v>111.61</v>
      </c>
      <c r="E50">
        <v>130.58000000000001</v>
      </c>
    </row>
    <row r="51" spans="1:5" x14ac:dyDescent="0.25">
      <c r="A51">
        <v>50</v>
      </c>
      <c r="B51" t="s">
        <v>833</v>
      </c>
      <c r="C51" t="s">
        <v>887</v>
      </c>
      <c r="D51">
        <v>41.05</v>
      </c>
      <c r="E51">
        <v>52.54</v>
      </c>
    </row>
    <row r="52" spans="1:5" x14ac:dyDescent="0.25">
      <c r="A52">
        <v>51</v>
      </c>
      <c r="B52" t="s">
        <v>833</v>
      </c>
      <c r="C52" t="s">
        <v>888</v>
      </c>
      <c r="D52">
        <v>194.07</v>
      </c>
      <c r="E52">
        <v>302.75</v>
      </c>
    </row>
    <row r="53" spans="1:5" x14ac:dyDescent="0.25">
      <c r="A53">
        <v>52</v>
      </c>
      <c r="B53" t="s">
        <v>851</v>
      </c>
      <c r="C53" t="s">
        <v>889</v>
      </c>
      <c r="D53">
        <v>156.15</v>
      </c>
      <c r="E53">
        <v>196.75</v>
      </c>
    </row>
    <row r="54" spans="1:5" x14ac:dyDescent="0.25">
      <c r="A54">
        <v>53</v>
      </c>
      <c r="B54" t="s">
        <v>833</v>
      </c>
      <c r="C54" t="s">
        <v>890</v>
      </c>
      <c r="D54">
        <v>188.2</v>
      </c>
      <c r="E54">
        <v>229.6</v>
      </c>
    </row>
    <row r="55" spans="1:5" x14ac:dyDescent="0.25">
      <c r="A55">
        <v>54</v>
      </c>
      <c r="B55" t="s">
        <v>837</v>
      </c>
      <c r="C55" t="s">
        <v>891</v>
      </c>
      <c r="D55">
        <v>179.49</v>
      </c>
      <c r="E55">
        <v>245.9</v>
      </c>
    </row>
    <row r="56" spans="1:5" x14ac:dyDescent="0.25">
      <c r="A56">
        <v>55</v>
      </c>
      <c r="B56" t="s">
        <v>872</v>
      </c>
      <c r="C56" t="s">
        <v>892</v>
      </c>
      <c r="D56">
        <v>121.59</v>
      </c>
      <c r="E56">
        <v>193.33</v>
      </c>
    </row>
    <row r="57" spans="1:5" x14ac:dyDescent="0.25">
      <c r="A57">
        <v>56</v>
      </c>
      <c r="B57" t="s">
        <v>837</v>
      </c>
      <c r="C57" t="s">
        <v>893</v>
      </c>
      <c r="D57">
        <v>184.77</v>
      </c>
      <c r="E57">
        <v>232.81</v>
      </c>
    </row>
    <row r="58" spans="1:5" x14ac:dyDescent="0.25">
      <c r="A58">
        <v>57</v>
      </c>
      <c r="B58" t="s">
        <v>847</v>
      </c>
      <c r="C58" t="s">
        <v>894</v>
      </c>
      <c r="D58">
        <v>22.26</v>
      </c>
      <c r="E58">
        <v>32.28</v>
      </c>
    </row>
    <row r="59" spans="1:5" x14ac:dyDescent="0.25">
      <c r="A59">
        <v>58</v>
      </c>
      <c r="B59" t="s">
        <v>837</v>
      </c>
      <c r="C59" t="s">
        <v>895</v>
      </c>
      <c r="D59">
        <v>43.22</v>
      </c>
      <c r="E59">
        <v>64.400000000000006</v>
      </c>
    </row>
    <row r="60" spans="1:5" x14ac:dyDescent="0.25">
      <c r="A60">
        <v>59</v>
      </c>
      <c r="B60" t="s">
        <v>872</v>
      </c>
      <c r="C60" t="s">
        <v>896</v>
      </c>
      <c r="D60">
        <v>13.82</v>
      </c>
      <c r="E60">
        <v>17.41</v>
      </c>
    </row>
    <row r="61" spans="1:5" x14ac:dyDescent="0.25">
      <c r="A61">
        <v>60</v>
      </c>
      <c r="B61" t="s">
        <v>833</v>
      </c>
      <c r="C61" t="s">
        <v>897</v>
      </c>
      <c r="D61">
        <v>68.44</v>
      </c>
      <c r="E61">
        <v>101.29</v>
      </c>
    </row>
    <row r="62" spans="1:5" x14ac:dyDescent="0.25">
      <c r="A62">
        <v>61</v>
      </c>
      <c r="B62" t="s">
        <v>831</v>
      </c>
      <c r="C62" t="s">
        <v>898</v>
      </c>
      <c r="D62">
        <v>80.790000000000006</v>
      </c>
      <c r="E62">
        <v>106.64</v>
      </c>
    </row>
    <row r="63" spans="1:5" x14ac:dyDescent="0.25">
      <c r="A63">
        <v>62</v>
      </c>
      <c r="B63" t="s">
        <v>851</v>
      </c>
      <c r="C63" t="s">
        <v>899</v>
      </c>
      <c r="D63">
        <v>57.91</v>
      </c>
      <c r="E63">
        <v>82.81</v>
      </c>
    </row>
    <row r="64" spans="1:5" x14ac:dyDescent="0.25">
      <c r="A64">
        <v>63</v>
      </c>
      <c r="B64" t="s">
        <v>847</v>
      </c>
      <c r="C64" t="s">
        <v>900</v>
      </c>
      <c r="D64">
        <v>166.6</v>
      </c>
      <c r="E64">
        <v>239.9</v>
      </c>
    </row>
    <row r="65" spans="1:5" x14ac:dyDescent="0.25">
      <c r="A65">
        <v>64</v>
      </c>
      <c r="B65" t="s">
        <v>833</v>
      </c>
      <c r="C65" t="s">
        <v>901</v>
      </c>
      <c r="D65">
        <v>74.569999999999993</v>
      </c>
      <c r="E65">
        <v>103.65</v>
      </c>
    </row>
    <row r="66" spans="1:5" x14ac:dyDescent="0.25">
      <c r="A66">
        <v>65</v>
      </c>
      <c r="B66" t="s">
        <v>851</v>
      </c>
      <c r="C66" t="s">
        <v>902</v>
      </c>
      <c r="D66">
        <v>59.78</v>
      </c>
      <c r="E66">
        <v>71.14</v>
      </c>
    </row>
    <row r="67" spans="1:5" x14ac:dyDescent="0.25">
      <c r="A67">
        <v>66</v>
      </c>
      <c r="B67" t="s">
        <v>833</v>
      </c>
      <c r="C67" t="s">
        <v>903</v>
      </c>
      <c r="D67">
        <v>110.83</v>
      </c>
      <c r="E67">
        <v>169.57</v>
      </c>
    </row>
    <row r="68" spans="1:5" x14ac:dyDescent="0.25">
      <c r="A68">
        <v>67</v>
      </c>
      <c r="B68" t="s">
        <v>847</v>
      </c>
      <c r="C68" t="s">
        <v>904</v>
      </c>
      <c r="D68">
        <v>32.479999999999997</v>
      </c>
      <c r="E68">
        <v>41.9</v>
      </c>
    </row>
    <row r="69" spans="1:5" x14ac:dyDescent="0.25">
      <c r="A69">
        <v>68</v>
      </c>
      <c r="B69" t="s">
        <v>837</v>
      </c>
      <c r="C69" t="s">
        <v>905</v>
      </c>
      <c r="D69">
        <v>161.43</v>
      </c>
      <c r="E69">
        <v>198.56</v>
      </c>
    </row>
    <row r="70" spans="1:5" x14ac:dyDescent="0.25">
      <c r="A70">
        <v>69</v>
      </c>
      <c r="B70" t="s">
        <v>872</v>
      </c>
      <c r="C70" t="s">
        <v>906</v>
      </c>
      <c r="D70">
        <v>19.54</v>
      </c>
      <c r="E70">
        <v>22.86</v>
      </c>
    </row>
    <row r="71" spans="1:5" x14ac:dyDescent="0.25">
      <c r="A71">
        <v>70</v>
      </c>
      <c r="B71" t="s">
        <v>831</v>
      </c>
      <c r="C71" t="s">
        <v>907</v>
      </c>
      <c r="D71">
        <v>197.44</v>
      </c>
      <c r="E71">
        <v>280.36</v>
      </c>
    </row>
    <row r="72" spans="1:5" x14ac:dyDescent="0.25">
      <c r="A72">
        <v>71</v>
      </c>
      <c r="B72" t="s">
        <v>847</v>
      </c>
      <c r="C72" t="s">
        <v>908</v>
      </c>
      <c r="D72">
        <v>155.59</v>
      </c>
      <c r="E72">
        <v>225.61</v>
      </c>
    </row>
    <row r="73" spans="1:5" x14ac:dyDescent="0.25">
      <c r="A73">
        <v>72</v>
      </c>
      <c r="B73" t="s">
        <v>872</v>
      </c>
      <c r="C73" t="s">
        <v>909</v>
      </c>
      <c r="D73">
        <v>43.75</v>
      </c>
      <c r="E73">
        <v>50.75</v>
      </c>
    </row>
    <row r="74" spans="1:5" x14ac:dyDescent="0.25">
      <c r="A74">
        <v>73</v>
      </c>
      <c r="B74" t="s">
        <v>837</v>
      </c>
      <c r="C74" t="s">
        <v>910</v>
      </c>
      <c r="D74">
        <v>6.08</v>
      </c>
      <c r="E74">
        <v>8.39</v>
      </c>
    </row>
    <row r="75" spans="1:5" x14ac:dyDescent="0.25">
      <c r="A75">
        <v>74</v>
      </c>
      <c r="B75" t="s">
        <v>847</v>
      </c>
      <c r="C75" t="s">
        <v>911</v>
      </c>
      <c r="D75">
        <v>164.01</v>
      </c>
      <c r="E75">
        <v>205.01</v>
      </c>
    </row>
    <row r="76" spans="1:5" x14ac:dyDescent="0.25">
      <c r="A76">
        <v>75</v>
      </c>
      <c r="B76" t="s">
        <v>839</v>
      </c>
      <c r="C76" t="s">
        <v>912</v>
      </c>
      <c r="D76">
        <v>142.84</v>
      </c>
      <c r="E76">
        <v>205.69</v>
      </c>
    </row>
    <row r="77" spans="1:5" x14ac:dyDescent="0.25">
      <c r="A77">
        <v>76</v>
      </c>
      <c r="B77" t="s">
        <v>831</v>
      </c>
      <c r="C77" t="s">
        <v>913</v>
      </c>
      <c r="D77">
        <v>147.16</v>
      </c>
      <c r="E77">
        <v>181.01</v>
      </c>
    </row>
    <row r="78" spans="1:5" x14ac:dyDescent="0.25">
      <c r="A78">
        <v>77</v>
      </c>
      <c r="B78" t="s">
        <v>833</v>
      </c>
      <c r="C78" t="s">
        <v>914</v>
      </c>
      <c r="D78">
        <v>155.4</v>
      </c>
      <c r="E78">
        <v>226.88</v>
      </c>
    </row>
    <row r="79" spans="1:5" x14ac:dyDescent="0.25">
      <c r="A79">
        <v>78</v>
      </c>
      <c r="B79" t="s">
        <v>833</v>
      </c>
      <c r="C79" t="s">
        <v>915</v>
      </c>
      <c r="D79">
        <v>19.440000000000001</v>
      </c>
      <c r="E79">
        <v>25.66</v>
      </c>
    </row>
    <row r="80" spans="1:5" x14ac:dyDescent="0.25">
      <c r="A80">
        <v>79</v>
      </c>
      <c r="B80" t="s">
        <v>831</v>
      </c>
      <c r="C80" t="s">
        <v>916</v>
      </c>
      <c r="D80">
        <v>74.900000000000006</v>
      </c>
      <c r="E80">
        <v>117.59</v>
      </c>
    </row>
    <row r="81" spans="1:5" x14ac:dyDescent="0.25">
      <c r="A81">
        <v>80</v>
      </c>
      <c r="B81" t="s">
        <v>839</v>
      </c>
      <c r="C81" t="s">
        <v>917</v>
      </c>
      <c r="D81">
        <v>27.59</v>
      </c>
      <c r="E81">
        <v>33.380000000000003</v>
      </c>
    </row>
    <row r="82" spans="1:5" x14ac:dyDescent="0.25">
      <c r="A82">
        <v>81</v>
      </c>
      <c r="B82" t="s">
        <v>872</v>
      </c>
      <c r="C82" t="s">
        <v>918</v>
      </c>
      <c r="D82">
        <v>173.31</v>
      </c>
      <c r="E82">
        <v>225.3</v>
      </c>
    </row>
    <row r="83" spans="1:5" x14ac:dyDescent="0.25">
      <c r="A83">
        <v>82</v>
      </c>
      <c r="B83" t="s">
        <v>837</v>
      </c>
      <c r="C83" t="s">
        <v>919</v>
      </c>
      <c r="D83">
        <v>126.54</v>
      </c>
      <c r="E83">
        <v>151.85</v>
      </c>
    </row>
    <row r="84" spans="1:5" x14ac:dyDescent="0.25">
      <c r="A84">
        <v>83</v>
      </c>
      <c r="B84" t="s">
        <v>833</v>
      </c>
      <c r="C84" t="s">
        <v>920</v>
      </c>
      <c r="D84">
        <v>69.53</v>
      </c>
      <c r="E84">
        <v>109.16</v>
      </c>
    </row>
    <row r="85" spans="1:5" x14ac:dyDescent="0.25">
      <c r="A85">
        <v>84</v>
      </c>
      <c r="B85" t="s">
        <v>872</v>
      </c>
      <c r="C85" t="s">
        <v>921</v>
      </c>
      <c r="D85">
        <v>17.39</v>
      </c>
      <c r="E85">
        <v>26.78</v>
      </c>
    </row>
    <row r="86" spans="1:5" x14ac:dyDescent="0.25">
      <c r="A86">
        <v>85</v>
      </c>
      <c r="B86" t="s">
        <v>839</v>
      </c>
      <c r="C86" t="s">
        <v>922</v>
      </c>
      <c r="D86">
        <v>65.64</v>
      </c>
      <c r="E86">
        <v>83.36</v>
      </c>
    </row>
    <row r="87" spans="1:5" x14ac:dyDescent="0.25">
      <c r="A87">
        <v>86</v>
      </c>
      <c r="B87" t="s">
        <v>872</v>
      </c>
      <c r="C87" t="s">
        <v>923</v>
      </c>
      <c r="D87">
        <v>68.41</v>
      </c>
      <c r="E87">
        <v>99.19</v>
      </c>
    </row>
    <row r="88" spans="1:5" x14ac:dyDescent="0.25">
      <c r="A88">
        <v>87</v>
      </c>
      <c r="B88" t="s">
        <v>833</v>
      </c>
      <c r="C88" t="s">
        <v>924</v>
      </c>
      <c r="D88">
        <v>147.27000000000001</v>
      </c>
      <c r="E88">
        <v>223.85</v>
      </c>
    </row>
    <row r="89" spans="1:5" x14ac:dyDescent="0.25">
      <c r="A89">
        <v>88</v>
      </c>
      <c r="B89" t="s">
        <v>851</v>
      </c>
      <c r="C89" t="s">
        <v>925</v>
      </c>
      <c r="D89">
        <v>129.32</v>
      </c>
      <c r="E89">
        <v>181.05</v>
      </c>
    </row>
    <row r="90" spans="1:5" x14ac:dyDescent="0.25">
      <c r="A90">
        <v>89</v>
      </c>
      <c r="B90" t="s">
        <v>837</v>
      </c>
      <c r="C90" t="s">
        <v>926</v>
      </c>
      <c r="D90">
        <v>178.01</v>
      </c>
      <c r="E90">
        <v>247.43</v>
      </c>
    </row>
    <row r="91" spans="1:5" x14ac:dyDescent="0.25">
      <c r="A91">
        <v>90</v>
      </c>
      <c r="B91" t="s">
        <v>851</v>
      </c>
      <c r="C91" t="s">
        <v>927</v>
      </c>
      <c r="D91">
        <v>97.08</v>
      </c>
      <c r="E91">
        <v>122.32</v>
      </c>
    </row>
    <row r="92" spans="1:5" x14ac:dyDescent="0.25">
      <c r="A92">
        <v>91</v>
      </c>
      <c r="B92" t="s">
        <v>831</v>
      </c>
      <c r="C92" t="s">
        <v>928</v>
      </c>
      <c r="D92">
        <v>28.32</v>
      </c>
      <c r="E92">
        <v>33.700000000000003</v>
      </c>
    </row>
    <row r="93" spans="1:5" x14ac:dyDescent="0.25">
      <c r="A93">
        <v>92</v>
      </c>
      <c r="B93" t="s">
        <v>872</v>
      </c>
      <c r="C93" t="s">
        <v>929</v>
      </c>
      <c r="D93">
        <v>144.08000000000001</v>
      </c>
      <c r="E93">
        <v>223.32</v>
      </c>
    </row>
    <row r="94" spans="1:5" x14ac:dyDescent="0.25">
      <c r="A94">
        <v>93</v>
      </c>
      <c r="B94" t="s">
        <v>837</v>
      </c>
      <c r="C94" t="s">
        <v>930</v>
      </c>
      <c r="D94">
        <v>153.35</v>
      </c>
      <c r="E94">
        <v>239.23</v>
      </c>
    </row>
    <row r="95" spans="1:5" x14ac:dyDescent="0.25">
      <c r="A95">
        <v>94</v>
      </c>
      <c r="B95" t="s">
        <v>839</v>
      </c>
      <c r="C95" t="s">
        <v>931</v>
      </c>
      <c r="D95">
        <v>114.45</v>
      </c>
      <c r="E95">
        <v>163.66</v>
      </c>
    </row>
    <row r="96" spans="1:5" x14ac:dyDescent="0.25">
      <c r="A96">
        <v>95</v>
      </c>
      <c r="B96" t="s">
        <v>837</v>
      </c>
      <c r="C96" t="s">
        <v>932</v>
      </c>
      <c r="D96">
        <v>155.34</v>
      </c>
      <c r="E96">
        <v>201.94</v>
      </c>
    </row>
    <row r="97" spans="1:5" x14ac:dyDescent="0.25">
      <c r="A97">
        <v>96</v>
      </c>
      <c r="B97" t="s">
        <v>837</v>
      </c>
      <c r="C97" t="s">
        <v>933</v>
      </c>
      <c r="D97">
        <v>101.29</v>
      </c>
      <c r="E97">
        <v>132.69</v>
      </c>
    </row>
    <row r="98" spans="1:5" x14ac:dyDescent="0.25">
      <c r="A98">
        <v>97</v>
      </c>
      <c r="B98" t="s">
        <v>839</v>
      </c>
      <c r="C98" t="s">
        <v>934</v>
      </c>
      <c r="D98">
        <v>106.93</v>
      </c>
      <c r="E98">
        <v>158.26</v>
      </c>
    </row>
    <row r="99" spans="1:5" x14ac:dyDescent="0.25">
      <c r="A99">
        <v>98</v>
      </c>
      <c r="B99" t="s">
        <v>831</v>
      </c>
      <c r="C99" t="s">
        <v>935</v>
      </c>
      <c r="D99">
        <v>88.37</v>
      </c>
      <c r="E99">
        <v>136.97</v>
      </c>
    </row>
    <row r="100" spans="1:5" x14ac:dyDescent="0.25">
      <c r="A100">
        <v>99</v>
      </c>
      <c r="B100" t="s">
        <v>837</v>
      </c>
      <c r="C100" t="s">
        <v>936</v>
      </c>
      <c r="D100">
        <v>9.9600000000000009</v>
      </c>
      <c r="E100">
        <v>15.44</v>
      </c>
    </row>
    <row r="101" spans="1:5" x14ac:dyDescent="0.25">
      <c r="A101">
        <v>100</v>
      </c>
      <c r="B101" t="s">
        <v>831</v>
      </c>
      <c r="C101" t="s">
        <v>937</v>
      </c>
      <c r="D101">
        <v>26.04</v>
      </c>
      <c r="E101">
        <v>39.06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26065-D9F5-47AC-BBFC-CEBE13BC9F54}">
  <dimension ref="A1:K42"/>
  <sheetViews>
    <sheetView tabSelected="1" zoomScale="75" zoomScaleNormal="75" workbookViewId="0">
      <selection activeCell="H14" sqref="H13:H15"/>
    </sheetView>
  </sheetViews>
  <sheetFormatPr defaultRowHeight="15" x14ac:dyDescent="0.25"/>
  <cols>
    <col min="1" max="1" width="13.140625" bestFit="1" customWidth="1"/>
    <col min="2" max="2" width="19.85546875" bestFit="1" customWidth="1"/>
    <col min="3" max="3" width="20.42578125" bestFit="1" customWidth="1"/>
    <col min="4" max="4" width="23.5703125" bestFit="1" customWidth="1"/>
    <col min="5" max="5" width="13.140625" bestFit="1" customWidth="1"/>
    <col min="6" max="6" width="20.28515625" bestFit="1" customWidth="1"/>
    <col min="7" max="7" width="19.85546875" bestFit="1" customWidth="1"/>
    <col min="8" max="8" width="13.140625" bestFit="1" customWidth="1"/>
    <col min="9" max="9" width="19.85546875" bestFit="1" customWidth="1"/>
    <col min="10" max="10" width="20.42578125" bestFit="1" customWidth="1"/>
    <col min="11" max="11" width="23.5703125" bestFit="1" customWidth="1"/>
  </cols>
  <sheetData>
    <row r="1" spans="1:11" x14ac:dyDescent="0.25">
      <c r="A1" s="19" t="s">
        <v>969</v>
      </c>
      <c r="B1" s="3" t="s">
        <v>971</v>
      </c>
      <c r="C1" s="3" t="s">
        <v>1201</v>
      </c>
      <c r="D1" t="s">
        <v>1204</v>
      </c>
    </row>
    <row r="2" spans="1:11" x14ac:dyDescent="0.25">
      <c r="A2" s="20">
        <v>0</v>
      </c>
      <c r="B2" s="3">
        <v>19433.050000000036</v>
      </c>
      <c r="C2" s="3">
        <v>4858.5</v>
      </c>
      <c r="D2" s="26">
        <v>0</v>
      </c>
    </row>
    <row r="3" spans="1:11" x14ac:dyDescent="0.25">
      <c r="A3" s="20">
        <v>0.1</v>
      </c>
      <c r="B3" s="3">
        <v>61727.381999999801</v>
      </c>
      <c r="C3" s="3">
        <v>11595.541999999985</v>
      </c>
      <c r="D3" s="26">
        <v>6858.5980000000209</v>
      </c>
    </row>
    <row r="4" spans="1:11" x14ac:dyDescent="0.25">
      <c r="A4" s="20">
        <v>0.15</v>
      </c>
      <c r="B4" s="3">
        <v>30814.854499999976</v>
      </c>
      <c r="C4" s="3">
        <v>4292.3544999999958</v>
      </c>
      <c r="D4" s="26">
        <v>5437.9154999999992</v>
      </c>
    </row>
    <row r="5" spans="1:11" x14ac:dyDescent="0.25">
      <c r="A5" s="20">
        <v>0.2</v>
      </c>
      <c r="B5" s="3">
        <v>31583.208000000006</v>
      </c>
      <c r="C5" s="3">
        <v>3883.7280000000001</v>
      </c>
      <c r="D5" s="26">
        <v>7895.8019999999979</v>
      </c>
    </row>
    <row r="6" spans="1:11" x14ac:dyDescent="0.25">
      <c r="A6" s="20" t="s">
        <v>970</v>
      </c>
      <c r="B6" s="3">
        <v>143558.49449999968</v>
      </c>
      <c r="C6" s="3">
        <v>24630.124499999998</v>
      </c>
      <c r="D6" s="26">
        <v>20192.315499999982</v>
      </c>
    </row>
    <row r="8" spans="1:11" x14ac:dyDescent="0.25">
      <c r="A8" s="23">
        <f>GETPIVOTDATA("[Measures].[Sum of total_amount 3]",$A$1)-GETPIVOTDATA("[Measures].[Sum of Discount_amount]",$A$1)</f>
        <v>123366.1789999997</v>
      </c>
      <c r="B8" s="21">
        <f>A8/GETPIVOTDATA("[Measures].[Sum of total_amount 3]",$A$1)</f>
        <v>0.85934433507172214</v>
      </c>
      <c r="C8" s="22">
        <f>GETPIVOTDATA("[Measures].[Sum of total_amount 3]",$A$1)</f>
        <v>143558.49449999968</v>
      </c>
    </row>
    <row r="9" spans="1:11" x14ac:dyDescent="0.25">
      <c r="A9" s="23">
        <f>GETPIVOTDATA("[Measures].[Sum of Discount_amount]",$A$1)</f>
        <v>20192.315499999982</v>
      </c>
      <c r="B9" s="21">
        <f>A9/GETPIVOTDATA("[Measures].[Sum of total_amount 3]",$A$1)</f>
        <v>0.14065566492827791</v>
      </c>
    </row>
    <row r="11" spans="1:11" x14ac:dyDescent="0.25">
      <c r="A11" s="14" t="s">
        <v>969</v>
      </c>
      <c r="B11" t="s">
        <v>971</v>
      </c>
    </row>
    <row r="12" spans="1:11" x14ac:dyDescent="0.25">
      <c r="A12" s="15" t="s">
        <v>953</v>
      </c>
      <c r="B12" s="3">
        <v>14214.20000000001</v>
      </c>
      <c r="H12" s="14" t="s">
        <v>969</v>
      </c>
      <c r="I12" t="s">
        <v>971</v>
      </c>
      <c r="J12" s="3" t="s">
        <v>1201</v>
      </c>
      <c r="K12" t="s">
        <v>1204</v>
      </c>
    </row>
    <row r="13" spans="1:11" x14ac:dyDescent="0.25">
      <c r="A13" s="15" t="s">
        <v>948</v>
      </c>
      <c r="B13" s="3">
        <v>10941.566000000004</v>
      </c>
      <c r="H13" s="15" t="s">
        <v>1205</v>
      </c>
      <c r="I13" s="3">
        <v>56473.795499999898</v>
      </c>
      <c r="J13" s="3">
        <v>9946.4655000000093</v>
      </c>
      <c r="K13" s="26">
        <v>7645.2045000000044</v>
      </c>
    </row>
    <row r="14" spans="1:11" x14ac:dyDescent="0.25">
      <c r="A14" s="15" t="s">
        <v>955</v>
      </c>
      <c r="B14" s="3">
        <v>15301.043000000018</v>
      </c>
      <c r="H14" s="15" t="s">
        <v>1206</v>
      </c>
      <c r="I14" s="3">
        <v>69445.759999999806</v>
      </c>
      <c r="J14" s="3">
        <v>11677.710000000014</v>
      </c>
      <c r="K14" s="26">
        <v>10278.179999999998</v>
      </c>
    </row>
    <row r="15" spans="1:11" x14ac:dyDescent="0.25">
      <c r="A15" s="15" t="s">
        <v>951</v>
      </c>
      <c r="B15" s="3">
        <v>16893.03350000002</v>
      </c>
      <c r="H15" s="15" t="s">
        <v>1207</v>
      </c>
      <c r="I15" s="3">
        <v>17638.939000000028</v>
      </c>
      <c r="J15" s="3">
        <v>3005.9490000000005</v>
      </c>
      <c r="K15" s="26">
        <v>2268.9309999999991</v>
      </c>
    </row>
    <row r="16" spans="1:11" x14ac:dyDescent="0.25">
      <c r="A16" s="15" t="s">
        <v>954</v>
      </c>
      <c r="B16" s="3">
        <v>17868.86400000002</v>
      </c>
      <c r="H16" s="15" t="s">
        <v>970</v>
      </c>
      <c r="I16" s="3">
        <v>143558.49449999968</v>
      </c>
      <c r="J16" s="3">
        <v>24630.124499999998</v>
      </c>
      <c r="K16" s="26">
        <v>20192.315499999982</v>
      </c>
    </row>
    <row r="17" spans="1:11" x14ac:dyDescent="0.25">
      <c r="A17" s="15" t="s">
        <v>946</v>
      </c>
      <c r="B17" s="3">
        <v>13940.188000000009</v>
      </c>
    </row>
    <row r="18" spans="1:11" x14ac:dyDescent="0.25">
      <c r="A18" s="15" t="s">
        <v>947</v>
      </c>
      <c r="B18" s="3">
        <v>13716.110000000017</v>
      </c>
      <c r="H18" s="17">
        <f>GETPIVOTDATA("[Measures].[Sum of total_amount 3]",$H$12,"[Sales__tbl].[date (Year)]","[Sales__tbl].[date (Year)].&amp;[2023]")</f>
        <v>56473.795499999898</v>
      </c>
      <c r="I18" s="21">
        <f>(H19-H18)/H18</f>
        <v>0.22969882553758814</v>
      </c>
      <c r="J18" s="21">
        <f>GETPIVOTDATA("[Measures].[Sum of profitperSales]",$H$12,"[Sales__tbl].[date (Year)]","[Sales__tbl].[date (Year)].&amp;[2023]")/GETPIVOTDATA("[Measures].[Sum of total_amount 3]",$H$12,"[Sales__tbl].[date (Year)]","[Sales__tbl].[date (Year)].&amp;[2023]")</f>
        <v>0.17612532346971485</v>
      </c>
      <c r="K18" s="21">
        <f>GETPIVOTDATA("[Measures].[Sum of Discount_amount]",$H$12,"[Sales__tbl].[date (Year)]","[Sales__tbl].[date (Year)].&amp;[2023]")/GETPIVOTDATA("[Measures].[Sum of total_amount 3]",$H$12,"[Sales__tbl].[date (Year)]","[Sales__tbl].[date (Year)].&amp;[2023]")</f>
        <v>0.1353761409572696</v>
      </c>
    </row>
    <row r="19" spans="1:11" x14ac:dyDescent="0.25">
      <c r="A19" s="15" t="s">
        <v>949</v>
      </c>
      <c r="B19" s="3">
        <v>16286.264000000017</v>
      </c>
      <c r="H19" s="17">
        <f>GETPIVOTDATA("[Measures].[Sum of total_amount 3]",$H$12,"[Sales__tbl].[date (Year)]","[Sales__tbl].[date (Year)].&amp;[2024]")</f>
        <v>69445.759999999806</v>
      </c>
      <c r="J19" s="21">
        <f>GETPIVOTDATA("[Measures].[Sum of profitperSales]",$H$12,"[Sales__tbl].[date (Year)]","[Sales__tbl].[date (Year)].&amp;[2024]")/GETPIVOTDATA("[Measures].[Sum of total_amount 3]",$H$12,"[Sales__tbl].[date (Year)]","[Sales__tbl].[date (Year)].&amp;[2024]")</f>
        <v>0.16815583845579696</v>
      </c>
      <c r="K19" s="21">
        <f>GETPIVOTDATA("[Measures].[Sum of Discount_amount]",$H$12,"[Sales__tbl].[date (Year)]","[Sales__tbl].[date (Year)].&amp;[2024]")/GETPIVOTDATA("[Measures].[Sum of total_amount 3]",$H$12,"[Sales__tbl].[date (Year)]","[Sales__tbl].[date (Year)].&amp;[2024]")</f>
        <v>0.14800298823139132</v>
      </c>
    </row>
    <row r="20" spans="1:11" x14ac:dyDescent="0.25">
      <c r="A20" s="15" t="s">
        <v>950</v>
      </c>
      <c r="B20" s="3">
        <v>12884.983000000006</v>
      </c>
      <c r="E20" s="14" t="s">
        <v>969</v>
      </c>
      <c r="F20" t="s">
        <v>971</v>
      </c>
      <c r="H20" s="17">
        <f>GETPIVOTDATA("[Measures].[Sum of total_amount 3]",$H$12,"[Sales__tbl].[date (Year)]","[Sales__tbl].[date (Year)].&amp;[2025]")</f>
        <v>17638.939000000028</v>
      </c>
    </row>
    <row r="21" spans="1:11" x14ac:dyDescent="0.25">
      <c r="A21" s="15" t="s">
        <v>952</v>
      </c>
      <c r="B21" s="3">
        <v>11512.243000000002</v>
      </c>
      <c r="E21" s="15" t="s">
        <v>837</v>
      </c>
      <c r="F21" s="3">
        <v>1233.7099999999984</v>
      </c>
      <c r="I21" t="b">
        <f>ISNUMBER(H18)</f>
        <v>1</v>
      </c>
      <c r="J21" s="24">
        <f>J19-J18</f>
        <v>-7.969485013917893E-3</v>
      </c>
      <c r="K21" s="24">
        <f>K19-K18</f>
        <v>1.2626847274121722E-2</v>
      </c>
    </row>
    <row r="22" spans="1:11" x14ac:dyDescent="0.25">
      <c r="A22" s="15" t="s">
        <v>970</v>
      </c>
      <c r="B22" s="3">
        <v>143558.49449999968</v>
      </c>
      <c r="E22" s="15" t="s">
        <v>833</v>
      </c>
      <c r="F22" s="3">
        <v>4547.8980000000074</v>
      </c>
      <c r="I22" t="b">
        <f>ISNUMBER(H19)</f>
        <v>1</v>
      </c>
    </row>
    <row r="23" spans="1:11" x14ac:dyDescent="0.25">
      <c r="E23" s="15" t="s">
        <v>940</v>
      </c>
      <c r="F23" s="3">
        <v>5780.6744999999983</v>
      </c>
    </row>
    <row r="24" spans="1:11" x14ac:dyDescent="0.25">
      <c r="E24" s="15" t="s">
        <v>939</v>
      </c>
      <c r="F24" s="3">
        <v>7405.3539999999957</v>
      </c>
    </row>
    <row r="25" spans="1:11" x14ac:dyDescent="0.25">
      <c r="E25" s="15" t="s">
        <v>872</v>
      </c>
      <c r="F25" s="3">
        <v>7925.4719999999879</v>
      </c>
    </row>
    <row r="26" spans="1:11" x14ac:dyDescent="0.25">
      <c r="E26" s="15" t="s">
        <v>847</v>
      </c>
      <c r="F26" s="3">
        <v>12952.800000000016</v>
      </c>
    </row>
    <row r="27" spans="1:11" x14ac:dyDescent="0.25">
      <c r="E27" s="15" t="s">
        <v>839</v>
      </c>
      <c r="F27" s="3">
        <v>13186.365000000007</v>
      </c>
    </row>
    <row r="28" spans="1:11" x14ac:dyDescent="0.25">
      <c r="E28" s="15" t="s">
        <v>943</v>
      </c>
      <c r="F28" s="3">
        <v>15398.864000000021</v>
      </c>
    </row>
    <row r="29" spans="1:11" x14ac:dyDescent="0.25">
      <c r="A29" s="14" t="s">
        <v>969</v>
      </c>
      <c r="B29" t="s">
        <v>1202</v>
      </c>
      <c r="E29" s="15" t="s">
        <v>831</v>
      </c>
      <c r="F29" s="3">
        <v>17768.753999999997</v>
      </c>
    </row>
    <row r="30" spans="1:11" x14ac:dyDescent="0.25">
      <c r="A30" s="15" t="s">
        <v>983</v>
      </c>
      <c r="B30" s="3">
        <v>150.15043548387098</v>
      </c>
      <c r="E30" s="15" t="s">
        <v>942</v>
      </c>
      <c r="F30" s="3">
        <v>18259.056000000008</v>
      </c>
    </row>
    <row r="31" spans="1:11" x14ac:dyDescent="0.25">
      <c r="A31" s="15" t="s">
        <v>982</v>
      </c>
      <c r="B31" s="3">
        <v>194.97800675675688</v>
      </c>
      <c r="E31" s="15" t="s">
        <v>851</v>
      </c>
      <c r="F31" s="3">
        <v>18966.700000000019</v>
      </c>
    </row>
    <row r="32" spans="1:11" x14ac:dyDescent="0.25">
      <c r="A32" s="15" t="s">
        <v>981</v>
      </c>
      <c r="B32" s="3">
        <v>181.66804301075283</v>
      </c>
      <c r="E32" s="15" t="s">
        <v>941</v>
      </c>
      <c r="F32" s="3">
        <v>20132.84700000002</v>
      </c>
    </row>
    <row r="33" spans="1:7" x14ac:dyDescent="0.25">
      <c r="A33" s="15" t="s">
        <v>980</v>
      </c>
      <c r="B33" s="3">
        <v>170.18262962962984</v>
      </c>
      <c r="E33" s="15" t="s">
        <v>970</v>
      </c>
      <c r="F33" s="3">
        <v>143558.49449999968</v>
      </c>
    </row>
    <row r="34" spans="1:7" x14ac:dyDescent="0.25">
      <c r="A34" s="15" t="s">
        <v>972</v>
      </c>
      <c r="B34" s="3">
        <v>197.76041935483886</v>
      </c>
    </row>
    <row r="35" spans="1:7" x14ac:dyDescent="0.25">
      <c r="A35" s="15" t="s">
        <v>979</v>
      </c>
      <c r="B35" s="3">
        <v>165.78118333333344</v>
      </c>
    </row>
    <row r="36" spans="1:7" x14ac:dyDescent="0.25">
      <c r="A36" s="15" t="s">
        <v>978</v>
      </c>
      <c r="B36" s="3">
        <v>162.69733870967752</v>
      </c>
      <c r="E36" s="14" t="s">
        <v>969</v>
      </c>
      <c r="F36" t="s">
        <v>1203</v>
      </c>
      <c r="G36" t="s">
        <v>971</v>
      </c>
    </row>
    <row r="37" spans="1:7" x14ac:dyDescent="0.25">
      <c r="A37" s="15" t="s">
        <v>977</v>
      </c>
      <c r="B37" s="3">
        <v>182.84798387096788</v>
      </c>
      <c r="E37" s="15" t="s">
        <v>425</v>
      </c>
      <c r="F37" s="18">
        <v>0.42749999999999999</v>
      </c>
      <c r="G37" s="3">
        <v>59698.367499999877</v>
      </c>
    </row>
    <row r="38" spans="1:7" x14ac:dyDescent="0.25">
      <c r="A38" s="15" t="s">
        <v>976</v>
      </c>
      <c r="B38" s="3">
        <v>197.17708333333337</v>
      </c>
      <c r="E38" s="15" t="s">
        <v>421</v>
      </c>
      <c r="F38" s="18">
        <v>0.35</v>
      </c>
      <c r="G38" s="3">
        <v>51319.72099999991</v>
      </c>
    </row>
    <row r="39" spans="1:7" x14ac:dyDescent="0.25">
      <c r="A39" s="15" t="s">
        <v>975</v>
      </c>
      <c r="B39" s="3">
        <v>177.47756451612904</v>
      </c>
      <c r="E39" s="15" t="s">
        <v>433</v>
      </c>
      <c r="F39" s="18">
        <v>0.155</v>
      </c>
      <c r="G39" s="3">
        <v>23827.184000000008</v>
      </c>
    </row>
    <row r="40" spans="1:7" x14ac:dyDescent="0.25">
      <c r="A40" s="15" t="s">
        <v>974</v>
      </c>
      <c r="B40" s="3">
        <v>199.62783333333343</v>
      </c>
      <c r="E40" s="15" t="s">
        <v>446</v>
      </c>
      <c r="F40" s="18">
        <v>6.7500000000000004E-2</v>
      </c>
      <c r="G40" s="3">
        <v>8713.2219999999961</v>
      </c>
    </row>
    <row r="41" spans="1:7" x14ac:dyDescent="0.25">
      <c r="A41" s="15" t="s">
        <v>973</v>
      </c>
      <c r="B41" s="3">
        <v>172.53456451612905</v>
      </c>
      <c r="E41" s="15" t="s">
        <v>970</v>
      </c>
      <c r="F41" s="18">
        <v>1</v>
      </c>
      <c r="G41" s="3">
        <v>143558.49449999968</v>
      </c>
    </row>
    <row r="42" spans="1:7" x14ac:dyDescent="0.25">
      <c r="A42" s="15" t="s">
        <v>970</v>
      </c>
      <c r="B42" s="3">
        <v>179.44811812499961</v>
      </c>
    </row>
  </sheetData>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390C-BCF3-48B8-A76F-3E4145F3B010}">
  <dimension ref="A1:N802"/>
  <sheetViews>
    <sheetView topLeftCell="A766" zoomScale="93" zoomScaleNormal="93" workbookViewId="0">
      <selection activeCell="K803" sqref="K803"/>
    </sheetView>
  </sheetViews>
  <sheetFormatPr defaultRowHeight="15" x14ac:dyDescent="0.25"/>
  <cols>
    <col min="1" max="1" width="9.5703125" bestFit="1" customWidth="1"/>
    <col min="2" max="2" width="9.5703125" customWidth="1"/>
    <col min="3" max="3" width="30.42578125" bestFit="1" customWidth="1"/>
    <col min="4" max="4" width="12" bestFit="1" customWidth="1"/>
    <col min="5" max="5" width="14.28515625" bestFit="1" customWidth="1"/>
    <col min="6" max="6" width="13.42578125" bestFit="1" customWidth="1"/>
    <col min="7" max="7" width="13.42578125" customWidth="1"/>
    <col min="8" max="8" width="10.7109375" customWidth="1"/>
    <col min="9" max="9" width="14.5703125" customWidth="1"/>
    <col min="10" max="10" width="10.85546875" customWidth="1"/>
    <col min="11" max="11" width="19" customWidth="1"/>
    <col min="12" max="12" width="15.42578125" customWidth="1"/>
    <col min="13" max="13" width="16.28515625" bestFit="1" customWidth="1"/>
    <col min="14" max="14" width="15.28515625" bestFit="1" customWidth="1"/>
  </cols>
  <sheetData>
    <row r="1" spans="1:14" x14ac:dyDescent="0.25">
      <c r="A1" t="s">
        <v>0</v>
      </c>
      <c r="B1" t="s">
        <v>968</v>
      </c>
      <c r="C1" t="s">
        <v>1</v>
      </c>
      <c r="D1" t="s">
        <v>2</v>
      </c>
      <c r="E1" t="s">
        <v>3</v>
      </c>
      <c r="F1" t="s">
        <v>4</v>
      </c>
      <c r="G1" t="s">
        <v>1198</v>
      </c>
      <c r="H1" t="s">
        <v>5</v>
      </c>
      <c r="I1" t="s">
        <v>830</v>
      </c>
      <c r="J1" t="s">
        <v>7</v>
      </c>
      <c r="K1" t="s">
        <v>944</v>
      </c>
      <c r="L1" t="s">
        <v>8</v>
      </c>
      <c r="M1" t="s">
        <v>1199</v>
      </c>
      <c r="N1" t="s">
        <v>1200</v>
      </c>
    </row>
    <row r="2" spans="1:14" x14ac:dyDescent="0.25">
      <c r="A2">
        <v>1</v>
      </c>
      <c r="B2" s="9" t="str">
        <f>TEXT(Sales__tbl[[#This Row],[date]],"MM")</f>
        <v>02</v>
      </c>
      <c r="C2" s="13">
        <v>44969</v>
      </c>
      <c r="D2" t="str">
        <f>_xlfn.XLOOKUP(Sales__tbl[[#This Row],[customer_id]],customer_tbl[customer_id],customer_tbl[Branch_id],"Not found")</f>
        <v>S02</v>
      </c>
      <c r="E2" t="s">
        <v>1057</v>
      </c>
      <c r="F2" t="s">
        <v>964</v>
      </c>
      <c r="G2" t="s">
        <v>943</v>
      </c>
      <c r="H2">
        <v>2</v>
      </c>
      <c r="I2">
        <v>190.58</v>
      </c>
      <c r="J2">
        <v>0.15</v>
      </c>
      <c r="K2" s="3">
        <v>57.174000000000035</v>
      </c>
      <c r="L2">
        <v>323.98599999999999</v>
      </c>
      <c r="M2">
        <v>28.505999999999972</v>
      </c>
      <c r="N2" t="str">
        <f>"P. "&amp;(Sales__tbl[[#This Row],[product_id]]&amp;"."&amp;TEXT(Sales__tbl[[#This Row],[selling_price]],"0.00"))</f>
        <v>P. P.id09.190.58</v>
      </c>
    </row>
    <row r="3" spans="1:14" x14ac:dyDescent="0.25">
      <c r="A3">
        <v>2</v>
      </c>
      <c r="B3" s="9" t="str">
        <f>TEXT(Sales__tbl[[#This Row],[date]],"MM")</f>
        <v>02</v>
      </c>
      <c r="C3" s="13">
        <v>44970</v>
      </c>
      <c r="D3" t="str">
        <f>_xlfn.XLOOKUP(Sales__tbl[[#This Row],[customer_id]],customer_tbl[customer_id],customer_tbl[Branch_id],"Not found")</f>
        <v>C02</v>
      </c>
      <c r="E3" t="s">
        <v>1058</v>
      </c>
      <c r="F3" t="s">
        <v>958</v>
      </c>
      <c r="G3" t="s">
        <v>939</v>
      </c>
      <c r="H3">
        <v>1</v>
      </c>
      <c r="I3">
        <v>90.53</v>
      </c>
      <c r="J3">
        <v>0</v>
      </c>
      <c r="K3" s="3">
        <v>0</v>
      </c>
      <c r="L3">
        <v>90.53</v>
      </c>
      <c r="M3">
        <v>12.489999999999995</v>
      </c>
      <c r="N3" t="str">
        <f>"P. "&amp;(Sales__tbl[[#This Row],[product_id]]&amp;"."&amp;TEXT(Sales__tbl[[#This Row],[selling_price]],"0.00"))</f>
        <v>P. P.id03.90.53</v>
      </c>
    </row>
    <row r="4" spans="1:14" x14ac:dyDescent="0.25">
      <c r="A4">
        <v>3</v>
      </c>
      <c r="B4" s="9" t="str">
        <f>TEXT(Sales__tbl[[#This Row],[date]],"MM")</f>
        <v>02</v>
      </c>
      <c r="C4" s="13">
        <v>44971</v>
      </c>
      <c r="D4" t="str">
        <f>_xlfn.XLOOKUP(Sales__tbl[[#This Row],[customer_id]],customer_tbl[customer_id],customer_tbl[Branch_id],"Not found")</f>
        <v>W01</v>
      </c>
      <c r="E4" t="s">
        <v>1059</v>
      </c>
      <c r="F4" t="s">
        <v>965</v>
      </c>
      <c r="G4" t="s">
        <v>847</v>
      </c>
      <c r="H4">
        <v>1</v>
      </c>
      <c r="I4">
        <v>168</v>
      </c>
      <c r="J4">
        <v>0.1</v>
      </c>
      <c r="K4" s="3">
        <v>16.799999999999983</v>
      </c>
      <c r="L4">
        <v>151.20000000000002</v>
      </c>
      <c r="M4">
        <v>29.460000000000022</v>
      </c>
      <c r="N4" t="str">
        <f>"P. "&amp;(Sales__tbl[[#This Row],[product_id]]&amp;"."&amp;TEXT(Sales__tbl[[#This Row],[selling_price]],"0.00"))</f>
        <v>P. P.id10.168.00</v>
      </c>
    </row>
    <row r="5" spans="1:14" x14ac:dyDescent="0.25">
      <c r="A5">
        <v>4</v>
      </c>
      <c r="B5" s="9" t="str">
        <f>TEXT(Sales__tbl[[#This Row],[date]],"MM")</f>
        <v>02</v>
      </c>
      <c r="C5" s="13">
        <v>44972</v>
      </c>
      <c r="D5" t="str">
        <f>_xlfn.XLOOKUP(Sales__tbl[[#This Row],[customer_id]],customer_tbl[customer_id],customer_tbl[Branch_id],"Not found")</f>
        <v>E02</v>
      </c>
      <c r="E5" t="s">
        <v>1060</v>
      </c>
      <c r="F5" t="s">
        <v>961</v>
      </c>
      <c r="G5" t="s">
        <v>940</v>
      </c>
      <c r="H5">
        <v>5</v>
      </c>
      <c r="I5">
        <v>66.790000000000006</v>
      </c>
      <c r="J5">
        <v>0.15</v>
      </c>
      <c r="K5" s="3">
        <v>50.09250000000003</v>
      </c>
      <c r="L5">
        <v>283.85750000000002</v>
      </c>
      <c r="M5">
        <v>64.157500000000027</v>
      </c>
      <c r="N5" t="str">
        <f>"P. "&amp;(Sales__tbl[[#This Row],[product_id]]&amp;"."&amp;TEXT(Sales__tbl[[#This Row],[selling_price]],"0.00"))</f>
        <v>P. P.id06.66.79</v>
      </c>
    </row>
    <row r="6" spans="1:14" x14ac:dyDescent="0.25">
      <c r="A6">
        <v>5</v>
      </c>
      <c r="B6" s="9" t="str">
        <f>TEXT(Sales__tbl[[#This Row],[date]],"MM")</f>
        <v>02</v>
      </c>
      <c r="C6" s="13">
        <v>44973</v>
      </c>
      <c r="D6" t="str">
        <f>_xlfn.XLOOKUP(Sales__tbl[[#This Row],[customer_id]],customer_tbl[customer_id],customer_tbl[Branch_id],"Not found")</f>
        <v>N01</v>
      </c>
      <c r="E6" t="s">
        <v>1003</v>
      </c>
      <c r="F6" t="s">
        <v>957</v>
      </c>
      <c r="G6" t="s">
        <v>833</v>
      </c>
      <c r="H6">
        <v>3</v>
      </c>
      <c r="I6">
        <v>55.26</v>
      </c>
      <c r="J6">
        <v>0.1</v>
      </c>
      <c r="K6" s="3">
        <v>16.578000000000003</v>
      </c>
      <c r="L6">
        <v>149.202</v>
      </c>
      <c r="M6">
        <v>42.941999999999993</v>
      </c>
      <c r="N6" t="str">
        <f>"P. "&amp;(Sales__tbl[[#This Row],[product_id]]&amp;"."&amp;TEXT(Sales__tbl[[#This Row],[selling_price]],"0.00"))</f>
        <v>P. P.id02.55.26</v>
      </c>
    </row>
    <row r="7" spans="1:14" x14ac:dyDescent="0.25">
      <c r="A7">
        <v>6</v>
      </c>
      <c r="B7" s="9" t="str">
        <f>TEXT(Sales__tbl[[#This Row],[date]],"MM")</f>
        <v>02</v>
      </c>
      <c r="C7" s="13">
        <v>44974</v>
      </c>
      <c r="D7" t="str">
        <f>_xlfn.XLOOKUP(Sales__tbl[[#This Row],[customer_id]],customer_tbl[customer_id],customer_tbl[Branch_id],"Not found")</f>
        <v>N01</v>
      </c>
      <c r="E7" t="s">
        <v>1061</v>
      </c>
      <c r="F7" t="s">
        <v>966</v>
      </c>
      <c r="G7" t="s">
        <v>851</v>
      </c>
      <c r="H7">
        <v>1</v>
      </c>
      <c r="I7">
        <v>196.75</v>
      </c>
      <c r="J7">
        <v>0.1</v>
      </c>
      <c r="K7" s="3">
        <v>19.674999999999983</v>
      </c>
      <c r="L7">
        <v>177.07500000000002</v>
      </c>
      <c r="M7">
        <v>20.925000000000011</v>
      </c>
      <c r="N7" t="str">
        <f>"P. "&amp;(Sales__tbl[[#This Row],[product_id]]&amp;"."&amp;TEXT(Sales__tbl[[#This Row],[selling_price]],"0.00"))</f>
        <v>P. P.id11.196.75</v>
      </c>
    </row>
    <row r="8" spans="1:14" x14ac:dyDescent="0.25">
      <c r="A8">
        <v>7</v>
      </c>
      <c r="B8" s="9" t="str">
        <f>TEXT(Sales__tbl[[#This Row],[date]],"MM")</f>
        <v>02</v>
      </c>
      <c r="C8" s="13">
        <v>44975</v>
      </c>
      <c r="D8" t="str">
        <f>_xlfn.XLOOKUP(Sales__tbl[[#This Row],[customer_id]],customer_tbl[customer_id],customer_tbl[Branch_id],"Not found")</f>
        <v>W01</v>
      </c>
      <c r="E8" t="s">
        <v>1062</v>
      </c>
      <c r="F8" t="s">
        <v>967</v>
      </c>
      <c r="G8" t="s">
        <v>872</v>
      </c>
      <c r="H8">
        <v>1</v>
      </c>
      <c r="I8">
        <v>91.73</v>
      </c>
      <c r="J8">
        <v>0</v>
      </c>
      <c r="K8" s="3">
        <v>0</v>
      </c>
      <c r="L8">
        <v>91.73</v>
      </c>
      <c r="M8">
        <v>15.290000000000006</v>
      </c>
      <c r="N8" t="str">
        <f>"P. "&amp;(Sales__tbl[[#This Row],[product_id]]&amp;"."&amp;TEXT(Sales__tbl[[#This Row],[selling_price]],"0.00"))</f>
        <v>P. P.id12.91.73</v>
      </c>
    </row>
    <row r="9" spans="1:14" x14ac:dyDescent="0.25">
      <c r="A9">
        <v>8</v>
      </c>
      <c r="B9" s="9" t="str">
        <f>TEXT(Sales__tbl[[#This Row],[date]],"MM")</f>
        <v>02</v>
      </c>
      <c r="C9" s="13">
        <v>44976</v>
      </c>
      <c r="D9" t="str">
        <f>_xlfn.XLOOKUP(Sales__tbl[[#This Row],[customer_id]],customer_tbl[customer_id],customer_tbl[Branch_id],"Not found")</f>
        <v>W02</v>
      </c>
      <c r="E9" t="s">
        <v>997</v>
      </c>
      <c r="F9" t="s">
        <v>960</v>
      </c>
      <c r="G9" t="s">
        <v>839</v>
      </c>
      <c r="H9">
        <v>1</v>
      </c>
      <c r="I9">
        <v>165.45</v>
      </c>
      <c r="J9">
        <v>0.1</v>
      </c>
      <c r="K9" s="3">
        <v>16.544999999999987</v>
      </c>
      <c r="L9">
        <v>148.905</v>
      </c>
      <c r="M9">
        <v>25.435000000000002</v>
      </c>
      <c r="N9" t="str">
        <f>"P. "&amp;(Sales__tbl[[#This Row],[product_id]]&amp;"."&amp;TEXT(Sales__tbl[[#This Row],[selling_price]],"0.00"))</f>
        <v>P. P.id05.165.45</v>
      </c>
    </row>
    <row r="10" spans="1:14" x14ac:dyDescent="0.25">
      <c r="A10">
        <v>9</v>
      </c>
      <c r="B10" s="9" t="str">
        <f>TEXT(Sales__tbl[[#This Row],[date]],"MM")</f>
        <v>02</v>
      </c>
      <c r="C10" s="13">
        <v>44977</v>
      </c>
      <c r="D10" t="str">
        <f>_xlfn.XLOOKUP(Sales__tbl[[#This Row],[customer_id]],customer_tbl[customer_id],customer_tbl[Branch_id],"Not found")</f>
        <v>E01</v>
      </c>
      <c r="E10" t="s">
        <v>1047</v>
      </c>
      <c r="F10" t="s">
        <v>963</v>
      </c>
      <c r="G10" t="s">
        <v>942</v>
      </c>
      <c r="H10">
        <v>1</v>
      </c>
      <c r="I10">
        <v>274.16000000000003</v>
      </c>
      <c r="J10">
        <v>0.1</v>
      </c>
      <c r="K10" s="3">
        <v>27.415999999999997</v>
      </c>
      <c r="L10">
        <v>246.74400000000003</v>
      </c>
      <c r="M10">
        <v>56.354000000000042</v>
      </c>
      <c r="N10" t="str">
        <f>"P. "&amp;(Sales__tbl[[#This Row],[product_id]]&amp;"."&amp;TEXT(Sales__tbl[[#This Row],[selling_price]],"0.00"))</f>
        <v>P. P.id08.274.16</v>
      </c>
    </row>
    <row r="11" spans="1:14" x14ac:dyDescent="0.25">
      <c r="A11">
        <v>10</v>
      </c>
      <c r="B11" s="9" t="str">
        <f>TEXT(Sales__tbl[[#This Row],[date]],"MM")</f>
        <v>02</v>
      </c>
      <c r="C11" s="13">
        <v>44978</v>
      </c>
      <c r="D11" t="str">
        <f>_xlfn.XLOOKUP(Sales__tbl[[#This Row],[customer_id]],customer_tbl[customer_id],customer_tbl[Branch_id],"Not found")</f>
        <v>S01</v>
      </c>
      <c r="E11" t="s">
        <v>1063</v>
      </c>
      <c r="F11" t="s">
        <v>966</v>
      </c>
      <c r="G11" t="s">
        <v>851</v>
      </c>
      <c r="H11">
        <v>1</v>
      </c>
      <c r="I11">
        <v>196.75</v>
      </c>
      <c r="J11">
        <v>0.1</v>
      </c>
      <c r="K11" s="3">
        <v>19.674999999999983</v>
      </c>
      <c r="L11">
        <v>177.07500000000002</v>
      </c>
      <c r="M11">
        <v>20.925000000000011</v>
      </c>
      <c r="N11" t="str">
        <f>"P. "&amp;(Sales__tbl[[#This Row],[product_id]]&amp;"."&amp;TEXT(Sales__tbl[[#This Row],[selling_price]],"0.00"))</f>
        <v>P. P.id11.196.75</v>
      </c>
    </row>
    <row r="12" spans="1:14" x14ac:dyDescent="0.25">
      <c r="A12">
        <v>11</v>
      </c>
      <c r="B12" s="9" t="str">
        <f>TEXT(Sales__tbl[[#This Row],[date]],"MM")</f>
        <v>02</v>
      </c>
      <c r="C12" s="13">
        <v>44979</v>
      </c>
      <c r="D12" t="str">
        <f>_xlfn.XLOOKUP(Sales__tbl[[#This Row],[customer_id]],customer_tbl[customer_id],customer_tbl[Branch_id],"Not found")</f>
        <v>N01</v>
      </c>
      <c r="E12" t="s">
        <v>1064</v>
      </c>
      <c r="F12" t="s">
        <v>957</v>
      </c>
      <c r="G12" t="s">
        <v>833</v>
      </c>
      <c r="H12">
        <v>1</v>
      </c>
      <c r="I12">
        <v>55.26</v>
      </c>
      <c r="J12">
        <v>0</v>
      </c>
      <c r="K12" s="3">
        <v>0</v>
      </c>
      <c r="L12">
        <v>55.26</v>
      </c>
      <c r="M12">
        <v>19.839999999999996</v>
      </c>
      <c r="N12" t="str">
        <f>"P. "&amp;(Sales__tbl[[#This Row],[product_id]]&amp;"."&amp;TEXT(Sales__tbl[[#This Row],[selling_price]],"0.00"))</f>
        <v>P. P.id02.55.26</v>
      </c>
    </row>
    <row r="13" spans="1:14" x14ac:dyDescent="0.25">
      <c r="A13">
        <v>12</v>
      </c>
      <c r="B13" s="9" t="str">
        <f>TEXT(Sales__tbl[[#This Row],[date]],"MM")</f>
        <v>02</v>
      </c>
      <c r="C13" s="13">
        <v>44980</v>
      </c>
      <c r="D13" t="str">
        <f>_xlfn.XLOOKUP(Sales__tbl[[#This Row],[customer_id]],customer_tbl[customer_id],customer_tbl[Branch_id],"Not found")</f>
        <v>E02</v>
      </c>
      <c r="E13" t="s">
        <v>1065</v>
      </c>
      <c r="F13" t="s">
        <v>962</v>
      </c>
      <c r="G13" t="s">
        <v>941</v>
      </c>
      <c r="H13">
        <v>1</v>
      </c>
      <c r="I13">
        <v>259.11</v>
      </c>
      <c r="J13">
        <v>0.1</v>
      </c>
      <c r="K13" s="3">
        <v>25.911000000000001</v>
      </c>
      <c r="L13">
        <v>233.19900000000001</v>
      </c>
      <c r="M13">
        <v>59.299000000000007</v>
      </c>
      <c r="N13" t="str">
        <f>"P. "&amp;(Sales__tbl[[#This Row],[product_id]]&amp;"."&amp;TEXT(Sales__tbl[[#This Row],[selling_price]],"0.00"))</f>
        <v>P. P.id07.259.11</v>
      </c>
    </row>
    <row r="14" spans="1:14" x14ac:dyDescent="0.25">
      <c r="A14">
        <v>13</v>
      </c>
      <c r="B14" s="9" t="str">
        <f>TEXT(Sales__tbl[[#This Row],[date]],"MM")</f>
        <v>02</v>
      </c>
      <c r="C14" s="13">
        <v>44981</v>
      </c>
      <c r="D14" t="str">
        <f>_xlfn.XLOOKUP(Sales__tbl[[#This Row],[customer_id]],customer_tbl[customer_id],customer_tbl[Branch_id],"Not found")</f>
        <v>N01</v>
      </c>
      <c r="E14" t="s">
        <v>1066</v>
      </c>
      <c r="F14" t="s">
        <v>967</v>
      </c>
      <c r="G14" t="s">
        <v>872</v>
      </c>
      <c r="H14">
        <v>2</v>
      </c>
      <c r="I14">
        <v>91.73</v>
      </c>
      <c r="J14">
        <v>0.1</v>
      </c>
      <c r="K14" s="3">
        <v>18.346000000000004</v>
      </c>
      <c r="L14">
        <v>165.114</v>
      </c>
      <c r="M14">
        <v>12.234000000000009</v>
      </c>
      <c r="N14" t="str">
        <f>"P. "&amp;(Sales__tbl[[#This Row],[product_id]]&amp;"."&amp;TEXT(Sales__tbl[[#This Row],[selling_price]],"0.00"))</f>
        <v>P. P.id12.91.73</v>
      </c>
    </row>
    <row r="15" spans="1:14" x14ac:dyDescent="0.25">
      <c r="A15">
        <v>14</v>
      </c>
      <c r="B15" s="9" t="str">
        <f>TEXT(Sales__tbl[[#This Row],[date]],"MM")</f>
        <v>02</v>
      </c>
      <c r="C15" s="13">
        <v>44982</v>
      </c>
      <c r="D15" t="str">
        <f>_xlfn.XLOOKUP(Sales__tbl[[#This Row],[customer_id]],customer_tbl[customer_id],customer_tbl[Branch_id],"Not found")</f>
        <v>N02</v>
      </c>
      <c r="E15" t="s">
        <v>1067</v>
      </c>
      <c r="F15" t="s">
        <v>966</v>
      </c>
      <c r="G15" t="s">
        <v>851</v>
      </c>
      <c r="H15">
        <v>2</v>
      </c>
      <c r="I15">
        <v>196.75</v>
      </c>
      <c r="J15">
        <v>0.15</v>
      </c>
      <c r="K15" s="3">
        <v>59.025000000000034</v>
      </c>
      <c r="L15">
        <v>334.47499999999997</v>
      </c>
      <c r="M15">
        <v>22.174999999999955</v>
      </c>
      <c r="N15" t="str">
        <f>"P. "&amp;(Sales__tbl[[#This Row],[product_id]]&amp;"."&amp;TEXT(Sales__tbl[[#This Row],[selling_price]],"0.00"))</f>
        <v>P. P.id11.196.75</v>
      </c>
    </row>
    <row r="16" spans="1:14" x14ac:dyDescent="0.25">
      <c r="A16">
        <v>15</v>
      </c>
      <c r="B16" s="9" t="str">
        <f>TEXT(Sales__tbl[[#This Row],[date]],"MM")</f>
        <v>02</v>
      </c>
      <c r="C16" s="13">
        <v>44983</v>
      </c>
      <c r="D16" t="str">
        <f>_xlfn.XLOOKUP(Sales__tbl[[#This Row],[customer_id]],customer_tbl[customer_id],customer_tbl[Branch_id],"Not found")</f>
        <v>E02</v>
      </c>
      <c r="E16" t="s">
        <v>1068</v>
      </c>
      <c r="F16" t="s">
        <v>964</v>
      </c>
      <c r="G16" t="s">
        <v>943</v>
      </c>
      <c r="H16">
        <v>1</v>
      </c>
      <c r="I16">
        <v>190.58</v>
      </c>
      <c r="J16">
        <v>0.1</v>
      </c>
      <c r="K16" s="3">
        <v>19.057999999999993</v>
      </c>
      <c r="L16">
        <v>171.52200000000002</v>
      </c>
      <c r="M16">
        <v>23.782000000000011</v>
      </c>
      <c r="N16" t="str">
        <f>"P. "&amp;(Sales__tbl[[#This Row],[product_id]]&amp;"."&amp;TEXT(Sales__tbl[[#This Row],[selling_price]],"0.00"))</f>
        <v>P. P.id09.190.58</v>
      </c>
    </row>
    <row r="17" spans="1:14" x14ac:dyDescent="0.25">
      <c r="A17">
        <v>16</v>
      </c>
      <c r="B17" s="9" t="str">
        <f>TEXT(Sales__tbl[[#This Row],[date]],"MM")</f>
        <v>02</v>
      </c>
      <c r="C17" s="13">
        <v>44984</v>
      </c>
      <c r="D17" t="str">
        <f>_xlfn.XLOOKUP(Sales__tbl[[#This Row],[customer_id]],customer_tbl[customer_id],customer_tbl[Branch_id],"Not found")</f>
        <v>E01</v>
      </c>
      <c r="E17" t="s">
        <v>1035</v>
      </c>
      <c r="F17" t="s">
        <v>957</v>
      </c>
      <c r="G17" t="s">
        <v>833</v>
      </c>
      <c r="H17">
        <v>1</v>
      </c>
      <c r="I17">
        <v>55.26</v>
      </c>
      <c r="J17">
        <v>0</v>
      </c>
      <c r="K17" s="3">
        <v>0</v>
      </c>
      <c r="L17">
        <v>55.26</v>
      </c>
      <c r="M17">
        <v>19.839999999999996</v>
      </c>
      <c r="N17" t="str">
        <f>"P. "&amp;(Sales__tbl[[#This Row],[product_id]]&amp;"."&amp;TEXT(Sales__tbl[[#This Row],[selling_price]],"0.00"))</f>
        <v>P. P.id02.55.26</v>
      </c>
    </row>
    <row r="18" spans="1:14" x14ac:dyDescent="0.25">
      <c r="A18">
        <v>17</v>
      </c>
      <c r="B18" s="9" t="str">
        <f>TEXT(Sales__tbl[[#This Row],[date]],"MM")</f>
        <v>02</v>
      </c>
      <c r="C18" s="13">
        <v>44985</v>
      </c>
      <c r="D18" t="str">
        <f>_xlfn.XLOOKUP(Sales__tbl[[#This Row],[customer_id]],customer_tbl[customer_id],customer_tbl[Branch_id],"Not found")</f>
        <v>N01</v>
      </c>
      <c r="E18" t="s">
        <v>1052</v>
      </c>
      <c r="F18" t="s">
        <v>956</v>
      </c>
      <c r="G18" t="s">
        <v>831</v>
      </c>
      <c r="H18">
        <v>1</v>
      </c>
      <c r="I18">
        <v>303.48</v>
      </c>
      <c r="J18">
        <v>0.15</v>
      </c>
      <c r="K18" s="3">
        <v>45.521999999999991</v>
      </c>
      <c r="L18">
        <v>257.95800000000003</v>
      </c>
      <c r="M18">
        <v>64.658000000000015</v>
      </c>
      <c r="N18" t="str">
        <f>"P. "&amp;(Sales__tbl[[#This Row],[product_id]]&amp;"."&amp;TEXT(Sales__tbl[[#This Row],[selling_price]],"0.00"))</f>
        <v>P. P.id01.303.48</v>
      </c>
    </row>
    <row r="19" spans="1:14" x14ac:dyDescent="0.25">
      <c r="A19">
        <v>18</v>
      </c>
      <c r="B19" s="9" t="str">
        <f>TEXT(Sales__tbl[[#This Row],[date]],"MM")</f>
        <v>03</v>
      </c>
      <c r="C19" s="13">
        <v>44986</v>
      </c>
      <c r="D19" t="str">
        <f>_xlfn.XLOOKUP(Sales__tbl[[#This Row],[customer_id]],customer_tbl[customer_id],customer_tbl[Branch_id],"Not found")</f>
        <v>E02</v>
      </c>
      <c r="E19" t="s">
        <v>1034</v>
      </c>
      <c r="F19" t="s">
        <v>967</v>
      </c>
      <c r="G19" t="s">
        <v>872</v>
      </c>
      <c r="H19">
        <v>1</v>
      </c>
      <c r="I19">
        <v>91.73</v>
      </c>
      <c r="J19">
        <v>0</v>
      </c>
      <c r="K19" s="3">
        <v>0</v>
      </c>
      <c r="L19">
        <v>91.73</v>
      </c>
      <c r="M19">
        <v>15.290000000000006</v>
      </c>
      <c r="N19" t="str">
        <f>"P. "&amp;(Sales__tbl[[#This Row],[product_id]]&amp;"."&amp;TEXT(Sales__tbl[[#This Row],[selling_price]],"0.00"))</f>
        <v>P. P.id12.91.73</v>
      </c>
    </row>
    <row r="20" spans="1:14" x14ac:dyDescent="0.25">
      <c r="A20">
        <v>19</v>
      </c>
      <c r="B20" s="9" t="str">
        <f>TEXT(Sales__tbl[[#This Row],[date]],"MM")</f>
        <v>03</v>
      </c>
      <c r="C20" s="13">
        <v>44987</v>
      </c>
      <c r="D20" t="str">
        <f>_xlfn.XLOOKUP(Sales__tbl[[#This Row],[customer_id]],customer_tbl[customer_id],customer_tbl[Branch_id],"Not found")</f>
        <v>N01</v>
      </c>
      <c r="E20" t="s">
        <v>1025</v>
      </c>
      <c r="F20" t="s">
        <v>959</v>
      </c>
      <c r="G20" t="s">
        <v>837</v>
      </c>
      <c r="H20">
        <v>1</v>
      </c>
      <c r="I20">
        <v>11.53</v>
      </c>
      <c r="J20">
        <v>0</v>
      </c>
      <c r="K20" s="3">
        <v>0</v>
      </c>
      <c r="L20">
        <v>11.53</v>
      </c>
      <c r="M20">
        <v>2.5199999999999996</v>
      </c>
      <c r="N20" t="str">
        <f>"P. "&amp;(Sales__tbl[[#This Row],[product_id]]&amp;"."&amp;TEXT(Sales__tbl[[#This Row],[selling_price]],"0.00"))</f>
        <v>P. P.id04.11.53</v>
      </c>
    </row>
    <row r="21" spans="1:14" x14ac:dyDescent="0.25">
      <c r="A21">
        <v>20</v>
      </c>
      <c r="B21" s="9" t="str">
        <f>TEXT(Sales__tbl[[#This Row],[date]],"MM")</f>
        <v>03</v>
      </c>
      <c r="C21" s="13">
        <v>44988</v>
      </c>
      <c r="D21" t="str">
        <f>_xlfn.XLOOKUP(Sales__tbl[[#This Row],[customer_id]],customer_tbl[customer_id],customer_tbl[Branch_id],"Not found")</f>
        <v>N01</v>
      </c>
      <c r="E21" t="s">
        <v>1069</v>
      </c>
      <c r="F21" t="s">
        <v>967</v>
      </c>
      <c r="G21" t="s">
        <v>872</v>
      </c>
      <c r="H21">
        <v>1</v>
      </c>
      <c r="I21">
        <v>91.73</v>
      </c>
      <c r="J21">
        <v>0</v>
      </c>
      <c r="K21" s="3">
        <v>0</v>
      </c>
      <c r="L21">
        <v>91.73</v>
      </c>
      <c r="M21">
        <v>15.290000000000006</v>
      </c>
      <c r="N21" t="str">
        <f>"P. "&amp;(Sales__tbl[[#This Row],[product_id]]&amp;"."&amp;TEXT(Sales__tbl[[#This Row],[selling_price]],"0.00"))</f>
        <v>P. P.id12.91.73</v>
      </c>
    </row>
    <row r="22" spans="1:14" x14ac:dyDescent="0.25">
      <c r="A22">
        <v>21</v>
      </c>
      <c r="B22" s="9" t="str">
        <f>TEXT(Sales__tbl[[#This Row],[date]],"MM")</f>
        <v>03</v>
      </c>
      <c r="C22" s="13">
        <v>44989</v>
      </c>
      <c r="D22" t="str">
        <f>_xlfn.XLOOKUP(Sales__tbl[[#This Row],[customer_id]],customer_tbl[customer_id],customer_tbl[Branch_id],"Not found")</f>
        <v>N01</v>
      </c>
      <c r="E22" t="s">
        <v>1013</v>
      </c>
      <c r="F22" t="s">
        <v>966</v>
      </c>
      <c r="G22" t="s">
        <v>851</v>
      </c>
      <c r="H22">
        <v>1</v>
      </c>
      <c r="I22">
        <v>196.75</v>
      </c>
      <c r="J22">
        <v>0.1</v>
      </c>
      <c r="K22" s="3">
        <v>19.674999999999983</v>
      </c>
      <c r="L22">
        <v>177.07500000000002</v>
      </c>
      <c r="M22">
        <v>20.925000000000011</v>
      </c>
      <c r="N22" t="str">
        <f>"P. "&amp;(Sales__tbl[[#This Row],[product_id]]&amp;"."&amp;TEXT(Sales__tbl[[#This Row],[selling_price]],"0.00"))</f>
        <v>P. P.id11.196.75</v>
      </c>
    </row>
    <row r="23" spans="1:14" x14ac:dyDescent="0.25">
      <c r="A23">
        <v>22</v>
      </c>
      <c r="B23" s="9" t="str">
        <f>TEXT(Sales__tbl[[#This Row],[date]],"MM")</f>
        <v>03</v>
      </c>
      <c r="C23" s="13">
        <v>44990</v>
      </c>
      <c r="D23" t="str">
        <f>_xlfn.XLOOKUP(Sales__tbl[[#This Row],[customer_id]],customer_tbl[customer_id],customer_tbl[Branch_id],"Not found")</f>
        <v>N02</v>
      </c>
      <c r="E23" t="s">
        <v>985</v>
      </c>
      <c r="F23" t="s">
        <v>965</v>
      </c>
      <c r="G23" t="s">
        <v>847</v>
      </c>
      <c r="H23">
        <v>1</v>
      </c>
      <c r="I23">
        <v>168</v>
      </c>
      <c r="J23">
        <v>0.1</v>
      </c>
      <c r="K23" s="3">
        <v>16.799999999999983</v>
      </c>
      <c r="L23">
        <v>151.20000000000002</v>
      </c>
      <c r="M23">
        <v>29.460000000000022</v>
      </c>
      <c r="N23" t="str">
        <f>"P. "&amp;(Sales__tbl[[#This Row],[product_id]]&amp;"."&amp;TEXT(Sales__tbl[[#This Row],[selling_price]],"0.00"))</f>
        <v>P. P.id10.168.00</v>
      </c>
    </row>
    <row r="24" spans="1:14" x14ac:dyDescent="0.25">
      <c r="A24">
        <v>23</v>
      </c>
      <c r="B24" s="9" t="str">
        <f>TEXT(Sales__tbl[[#This Row],[date]],"MM")</f>
        <v>03</v>
      </c>
      <c r="C24" s="13">
        <v>44991</v>
      </c>
      <c r="D24" t="str">
        <f>_xlfn.XLOOKUP(Sales__tbl[[#This Row],[customer_id]],customer_tbl[customer_id],customer_tbl[Branch_id],"Not found")</f>
        <v>N01</v>
      </c>
      <c r="E24" t="s">
        <v>1070</v>
      </c>
      <c r="F24" t="s">
        <v>956</v>
      </c>
      <c r="G24" t="s">
        <v>831</v>
      </c>
      <c r="H24">
        <v>1</v>
      </c>
      <c r="I24">
        <v>303.48</v>
      </c>
      <c r="J24">
        <v>0.15</v>
      </c>
      <c r="K24" s="3">
        <v>45.521999999999991</v>
      </c>
      <c r="L24">
        <v>257.95800000000003</v>
      </c>
      <c r="M24">
        <v>64.658000000000015</v>
      </c>
      <c r="N24" t="str">
        <f>"P. "&amp;(Sales__tbl[[#This Row],[product_id]]&amp;"."&amp;TEXT(Sales__tbl[[#This Row],[selling_price]],"0.00"))</f>
        <v>P. P.id01.303.48</v>
      </c>
    </row>
    <row r="25" spans="1:14" x14ac:dyDescent="0.25">
      <c r="A25">
        <v>24</v>
      </c>
      <c r="B25" s="9" t="str">
        <f>TEXT(Sales__tbl[[#This Row],[date]],"MM")</f>
        <v>03</v>
      </c>
      <c r="C25" s="13">
        <v>44992</v>
      </c>
      <c r="D25" t="str">
        <f>_xlfn.XLOOKUP(Sales__tbl[[#This Row],[customer_id]],customer_tbl[customer_id],customer_tbl[Branch_id],"Not found")</f>
        <v>S02</v>
      </c>
      <c r="E25" t="s">
        <v>1071</v>
      </c>
      <c r="F25" t="s">
        <v>967</v>
      </c>
      <c r="G25" t="s">
        <v>872</v>
      </c>
      <c r="H25">
        <v>1</v>
      </c>
      <c r="I25">
        <v>91.73</v>
      </c>
      <c r="J25">
        <v>0</v>
      </c>
      <c r="K25" s="3">
        <v>0</v>
      </c>
      <c r="L25">
        <v>91.73</v>
      </c>
      <c r="M25">
        <v>15.290000000000006</v>
      </c>
      <c r="N25" t="str">
        <f>"P. "&amp;(Sales__tbl[[#This Row],[product_id]]&amp;"."&amp;TEXT(Sales__tbl[[#This Row],[selling_price]],"0.00"))</f>
        <v>P. P.id12.91.73</v>
      </c>
    </row>
    <row r="26" spans="1:14" x14ac:dyDescent="0.25">
      <c r="A26">
        <v>25</v>
      </c>
      <c r="B26" s="9" t="str">
        <f>TEXT(Sales__tbl[[#This Row],[date]],"MM")</f>
        <v>03</v>
      </c>
      <c r="C26" s="13">
        <v>44993</v>
      </c>
      <c r="D26" t="str">
        <f>_xlfn.XLOOKUP(Sales__tbl[[#This Row],[customer_id]],customer_tbl[customer_id],customer_tbl[Branch_id],"Not found")</f>
        <v>C02</v>
      </c>
      <c r="E26" t="s">
        <v>1000</v>
      </c>
      <c r="F26" t="s">
        <v>960</v>
      </c>
      <c r="G26" t="s">
        <v>839</v>
      </c>
      <c r="H26">
        <v>1</v>
      </c>
      <c r="I26">
        <v>165.45</v>
      </c>
      <c r="J26">
        <v>0.1</v>
      </c>
      <c r="K26" s="3">
        <v>16.544999999999987</v>
      </c>
      <c r="L26">
        <v>148.905</v>
      </c>
      <c r="M26">
        <v>25.435000000000002</v>
      </c>
      <c r="N26" t="str">
        <f>"P. "&amp;(Sales__tbl[[#This Row],[product_id]]&amp;"."&amp;TEXT(Sales__tbl[[#This Row],[selling_price]],"0.00"))</f>
        <v>P. P.id05.165.45</v>
      </c>
    </row>
    <row r="27" spans="1:14" x14ac:dyDescent="0.25">
      <c r="A27">
        <v>26</v>
      </c>
      <c r="B27" s="9" t="str">
        <f>TEXT(Sales__tbl[[#This Row],[date]],"MM")</f>
        <v>03</v>
      </c>
      <c r="C27" s="13">
        <v>44994</v>
      </c>
      <c r="D27" t="str">
        <f>_xlfn.XLOOKUP(Sales__tbl[[#This Row],[customer_id]],customer_tbl[customer_id],customer_tbl[Branch_id],"Not found")</f>
        <v>S01</v>
      </c>
      <c r="E27" t="s">
        <v>1072</v>
      </c>
      <c r="F27" t="s">
        <v>960</v>
      </c>
      <c r="G27" t="s">
        <v>839</v>
      </c>
      <c r="H27">
        <v>1</v>
      </c>
      <c r="I27">
        <v>165.45</v>
      </c>
      <c r="J27">
        <v>0.1</v>
      </c>
      <c r="K27" s="3">
        <v>16.544999999999987</v>
      </c>
      <c r="L27">
        <v>148.905</v>
      </c>
      <c r="M27">
        <v>25.435000000000002</v>
      </c>
      <c r="N27" t="str">
        <f>"P. "&amp;(Sales__tbl[[#This Row],[product_id]]&amp;"."&amp;TEXT(Sales__tbl[[#This Row],[selling_price]],"0.00"))</f>
        <v>P. P.id05.165.45</v>
      </c>
    </row>
    <row r="28" spans="1:14" x14ac:dyDescent="0.25">
      <c r="A28">
        <v>27</v>
      </c>
      <c r="B28" s="9" t="str">
        <f>TEXT(Sales__tbl[[#This Row],[date]],"MM")</f>
        <v>03</v>
      </c>
      <c r="C28" s="13">
        <v>44995</v>
      </c>
      <c r="D28" t="str">
        <f>_xlfn.XLOOKUP(Sales__tbl[[#This Row],[customer_id]],customer_tbl[customer_id],customer_tbl[Branch_id],"Not found")</f>
        <v>S02</v>
      </c>
      <c r="E28" t="s">
        <v>984</v>
      </c>
      <c r="F28" t="s">
        <v>958</v>
      </c>
      <c r="G28" t="s">
        <v>939</v>
      </c>
      <c r="H28">
        <v>3</v>
      </c>
      <c r="I28">
        <v>90.53</v>
      </c>
      <c r="J28">
        <v>0.1</v>
      </c>
      <c r="K28" s="3">
        <v>27.158999999999992</v>
      </c>
      <c r="L28">
        <v>244.43100000000004</v>
      </c>
      <c r="M28">
        <v>10.311000000000035</v>
      </c>
      <c r="N28" t="str">
        <f>"P. "&amp;(Sales__tbl[[#This Row],[product_id]]&amp;"."&amp;TEXT(Sales__tbl[[#This Row],[selling_price]],"0.00"))</f>
        <v>P. P.id03.90.53</v>
      </c>
    </row>
    <row r="29" spans="1:14" x14ac:dyDescent="0.25">
      <c r="A29">
        <v>28</v>
      </c>
      <c r="B29" s="9" t="str">
        <f>TEXT(Sales__tbl[[#This Row],[date]],"MM")</f>
        <v>03</v>
      </c>
      <c r="C29" s="13">
        <v>44996</v>
      </c>
      <c r="D29" t="str">
        <f>_xlfn.XLOOKUP(Sales__tbl[[#This Row],[customer_id]],customer_tbl[customer_id],customer_tbl[Branch_id],"Not found")</f>
        <v>N02</v>
      </c>
      <c r="E29" t="s">
        <v>985</v>
      </c>
      <c r="F29" t="s">
        <v>956</v>
      </c>
      <c r="G29" t="s">
        <v>831</v>
      </c>
      <c r="H29">
        <v>2</v>
      </c>
      <c r="I29">
        <v>303.48</v>
      </c>
      <c r="J29">
        <v>0.2</v>
      </c>
      <c r="K29" s="3">
        <v>121.392</v>
      </c>
      <c r="L29">
        <v>485.56800000000004</v>
      </c>
      <c r="M29">
        <v>98.968000000000018</v>
      </c>
      <c r="N29" t="str">
        <f>"P. "&amp;(Sales__tbl[[#This Row],[product_id]]&amp;"."&amp;TEXT(Sales__tbl[[#This Row],[selling_price]],"0.00"))</f>
        <v>P. P.id01.303.48</v>
      </c>
    </row>
    <row r="30" spans="1:14" x14ac:dyDescent="0.25">
      <c r="A30">
        <v>29</v>
      </c>
      <c r="B30" s="9" t="str">
        <f>TEXT(Sales__tbl[[#This Row],[date]],"MM")</f>
        <v>03</v>
      </c>
      <c r="C30" s="13">
        <v>44997</v>
      </c>
      <c r="D30" t="str">
        <f>_xlfn.XLOOKUP(Sales__tbl[[#This Row],[customer_id]],customer_tbl[customer_id],customer_tbl[Branch_id],"Not found")</f>
        <v>S02</v>
      </c>
      <c r="E30" t="s">
        <v>1073</v>
      </c>
      <c r="F30" t="s">
        <v>956</v>
      </c>
      <c r="G30" t="s">
        <v>831</v>
      </c>
      <c r="H30">
        <v>1</v>
      </c>
      <c r="I30">
        <v>303.48</v>
      </c>
      <c r="J30">
        <v>0.15</v>
      </c>
      <c r="K30" s="3">
        <v>45.521999999999991</v>
      </c>
      <c r="L30">
        <v>257.95800000000003</v>
      </c>
      <c r="M30">
        <v>64.658000000000015</v>
      </c>
      <c r="N30" t="str">
        <f>"P. "&amp;(Sales__tbl[[#This Row],[product_id]]&amp;"."&amp;TEXT(Sales__tbl[[#This Row],[selling_price]],"0.00"))</f>
        <v>P. P.id01.303.48</v>
      </c>
    </row>
    <row r="31" spans="1:14" x14ac:dyDescent="0.25">
      <c r="A31">
        <v>30</v>
      </c>
      <c r="B31" s="9" t="str">
        <f>TEXT(Sales__tbl[[#This Row],[date]],"MM")</f>
        <v>03</v>
      </c>
      <c r="C31" s="13">
        <v>44998</v>
      </c>
      <c r="D31" t="str">
        <f>_xlfn.XLOOKUP(Sales__tbl[[#This Row],[customer_id]],customer_tbl[customer_id],customer_tbl[Branch_id],"Not found")</f>
        <v>C01</v>
      </c>
      <c r="E31" t="s">
        <v>1056</v>
      </c>
      <c r="F31" t="s">
        <v>965</v>
      </c>
      <c r="G31" t="s">
        <v>847</v>
      </c>
      <c r="H31">
        <v>1</v>
      </c>
      <c r="I31">
        <v>168</v>
      </c>
      <c r="J31">
        <v>0.1</v>
      </c>
      <c r="K31" s="3">
        <v>16.799999999999983</v>
      </c>
      <c r="L31">
        <v>151.20000000000002</v>
      </c>
      <c r="M31">
        <v>29.460000000000022</v>
      </c>
      <c r="N31" t="str">
        <f>"P. "&amp;(Sales__tbl[[#This Row],[product_id]]&amp;"."&amp;TEXT(Sales__tbl[[#This Row],[selling_price]],"0.00"))</f>
        <v>P. P.id10.168.00</v>
      </c>
    </row>
    <row r="32" spans="1:14" x14ac:dyDescent="0.25">
      <c r="A32">
        <v>31</v>
      </c>
      <c r="B32" s="9" t="str">
        <f>TEXT(Sales__tbl[[#This Row],[date]],"MM")</f>
        <v>03</v>
      </c>
      <c r="C32" s="13">
        <v>44999</v>
      </c>
      <c r="D32" t="str">
        <f>_xlfn.XLOOKUP(Sales__tbl[[#This Row],[customer_id]],customer_tbl[customer_id],customer_tbl[Branch_id],"Not found")</f>
        <v>E01</v>
      </c>
      <c r="E32" t="s">
        <v>1074</v>
      </c>
      <c r="F32" t="s">
        <v>960</v>
      </c>
      <c r="G32" t="s">
        <v>839</v>
      </c>
      <c r="H32">
        <v>1</v>
      </c>
      <c r="I32">
        <v>165.45</v>
      </c>
      <c r="J32">
        <v>0.1</v>
      </c>
      <c r="K32" s="3">
        <v>16.544999999999987</v>
      </c>
      <c r="L32">
        <v>148.905</v>
      </c>
      <c r="M32">
        <v>25.435000000000002</v>
      </c>
      <c r="N32" t="str">
        <f>"P. "&amp;(Sales__tbl[[#This Row],[product_id]]&amp;"."&amp;TEXT(Sales__tbl[[#This Row],[selling_price]],"0.00"))</f>
        <v>P. P.id05.165.45</v>
      </c>
    </row>
    <row r="33" spans="1:14" x14ac:dyDescent="0.25">
      <c r="A33">
        <v>32</v>
      </c>
      <c r="B33" s="9" t="str">
        <f>TEXT(Sales__tbl[[#This Row],[date]],"MM")</f>
        <v>03</v>
      </c>
      <c r="C33" s="13">
        <v>45000</v>
      </c>
      <c r="D33" t="str">
        <f>_xlfn.XLOOKUP(Sales__tbl[[#This Row],[customer_id]],customer_tbl[customer_id],customer_tbl[Branch_id],"Not found")</f>
        <v>E01</v>
      </c>
      <c r="E33" t="s">
        <v>1032</v>
      </c>
      <c r="F33" t="s">
        <v>962</v>
      </c>
      <c r="G33" t="s">
        <v>941</v>
      </c>
      <c r="H33">
        <v>2</v>
      </c>
      <c r="I33">
        <v>259.11</v>
      </c>
      <c r="J33">
        <v>0.2</v>
      </c>
      <c r="K33" s="3">
        <v>103.64400000000001</v>
      </c>
      <c r="L33">
        <v>414.57600000000002</v>
      </c>
      <c r="M33">
        <v>66.77600000000001</v>
      </c>
      <c r="N33" t="str">
        <f>"P. "&amp;(Sales__tbl[[#This Row],[product_id]]&amp;"."&amp;TEXT(Sales__tbl[[#This Row],[selling_price]],"0.00"))</f>
        <v>P. P.id07.259.11</v>
      </c>
    </row>
    <row r="34" spans="1:14" x14ac:dyDescent="0.25">
      <c r="A34">
        <v>33</v>
      </c>
      <c r="B34" s="9" t="str">
        <f>TEXT(Sales__tbl[[#This Row],[date]],"MM")</f>
        <v>03</v>
      </c>
      <c r="C34" s="13">
        <v>45001</v>
      </c>
      <c r="D34" t="str">
        <f>_xlfn.XLOOKUP(Sales__tbl[[#This Row],[customer_id]],customer_tbl[customer_id],customer_tbl[Branch_id],"Not found")</f>
        <v>C02</v>
      </c>
      <c r="E34" t="s">
        <v>1075</v>
      </c>
      <c r="F34" t="s">
        <v>963</v>
      </c>
      <c r="G34" t="s">
        <v>942</v>
      </c>
      <c r="H34">
        <v>1</v>
      </c>
      <c r="I34">
        <v>274.16000000000003</v>
      </c>
      <c r="J34">
        <v>0.1</v>
      </c>
      <c r="K34" s="3">
        <v>27.415999999999997</v>
      </c>
      <c r="L34">
        <v>246.74400000000003</v>
      </c>
      <c r="M34">
        <v>56.354000000000042</v>
      </c>
      <c r="N34" t="str">
        <f>"P. "&amp;(Sales__tbl[[#This Row],[product_id]]&amp;"."&amp;TEXT(Sales__tbl[[#This Row],[selling_price]],"0.00"))</f>
        <v>P. P.id08.274.16</v>
      </c>
    </row>
    <row r="35" spans="1:14" x14ac:dyDescent="0.25">
      <c r="A35">
        <v>34</v>
      </c>
      <c r="B35" s="9" t="str">
        <f>TEXT(Sales__tbl[[#This Row],[date]],"MM")</f>
        <v>03</v>
      </c>
      <c r="C35" s="13">
        <v>45002</v>
      </c>
      <c r="D35" t="str">
        <f>_xlfn.XLOOKUP(Sales__tbl[[#This Row],[customer_id]],customer_tbl[customer_id],customer_tbl[Branch_id],"Not found")</f>
        <v>E01</v>
      </c>
      <c r="E35" t="s">
        <v>986</v>
      </c>
      <c r="F35" t="s">
        <v>965</v>
      </c>
      <c r="G35" t="s">
        <v>847</v>
      </c>
      <c r="H35">
        <v>1</v>
      </c>
      <c r="I35">
        <v>168</v>
      </c>
      <c r="J35">
        <v>0.1</v>
      </c>
      <c r="K35" s="3">
        <v>16.799999999999983</v>
      </c>
      <c r="L35">
        <v>151.20000000000002</v>
      </c>
      <c r="M35">
        <v>29.460000000000022</v>
      </c>
      <c r="N35" t="str">
        <f>"P. "&amp;(Sales__tbl[[#This Row],[product_id]]&amp;"."&amp;TEXT(Sales__tbl[[#This Row],[selling_price]],"0.00"))</f>
        <v>P. P.id10.168.00</v>
      </c>
    </row>
    <row r="36" spans="1:14" x14ac:dyDescent="0.25">
      <c r="A36">
        <v>35</v>
      </c>
      <c r="B36" s="9" t="str">
        <f>TEXT(Sales__tbl[[#This Row],[date]],"MM")</f>
        <v>03</v>
      </c>
      <c r="C36" s="13">
        <v>45003</v>
      </c>
      <c r="D36" t="str">
        <f>_xlfn.XLOOKUP(Sales__tbl[[#This Row],[customer_id]],customer_tbl[customer_id],customer_tbl[Branch_id],"Not found")</f>
        <v>N01</v>
      </c>
      <c r="E36" t="s">
        <v>1027</v>
      </c>
      <c r="F36" t="s">
        <v>963</v>
      </c>
      <c r="G36" t="s">
        <v>942</v>
      </c>
      <c r="H36">
        <v>1</v>
      </c>
      <c r="I36">
        <v>274.16000000000003</v>
      </c>
      <c r="J36">
        <v>0.1</v>
      </c>
      <c r="K36" s="3">
        <v>27.415999999999997</v>
      </c>
      <c r="L36">
        <v>246.74400000000003</v>
      </c>
      <c r="M36">
        <v>56.354000000000042</v>
      </c>
      <c r="N36" t="str">
        <f>"P. "&amp;(Sales__tbl[[#This Row],[product_id]]&amp;"."&amp;TEXT(Sales__tbl[[#This Row],[selling_price]],"0.00"))</f>
        <v>P. P.id08.274.16</v>
      </c>
    </row>
    <row r="37" spans="1:14" x14ac:dyDescent="0.25">
      <c r="A37">
        <v>36</v>
      </c>
      <c r="B37" s="9" t="str">
        <f>TEXT(Sales__tbl[[#This Row],[date]],"MM")</f>
        <v>03</v>
      </c>
      <c r="C37" s="13">
        <v>45004</v>
      </c>
      <c r="D37" t="str">
        <f>_xlfn.XLOOKUP(Sales__tbl[[#This Row],[customer_id]],customer_tbl[customer_id],customer_tbl[Branch_id],"Not found")</f>
        <v>C02</v>
      </c>
      <c r="E37" t="s">
        <v>1000</v>
      </c>
      <c r="F37" t="s">
        <v>960</v>
      </c>
      <c r="G37" t="s">
        <v>839</v>
      </c>
      <c r="H37">
        <v>2</v>
      </c>
      <c r="I37">
        <v>165.45</v>
      </c>
      <c r="J37">
        <v>0.15</v>
      </c>
      <c r="K37" s="3">
        <v>49.634999999999991</v>
      </c>
      <c r="L37">
        <v>281.26499999999999</v>
      </c>
      <c r="M37">
        <v>34.324999999999989</v>
      </c>
      <c r="N37" t="str">
        <f>"P. "&amp;(Sales__tbl[[#This Row],[product_id]]&amp;"."&amp;TEXT(Sales__tbl[[#This Row],[selling_price]],"0.00"))</f>
        <v>P. P.id05.165.45</v>
      </c>
    </row>
    <row r="38" spans="1:14" x14ac:dyDescent="0.25">
      <c r="A38">
        <v>37</v>
      </c>
      <c r="B38" s="9" t="str">
        <f>TEXT(Sales__tbl[[#This Row],[date]],"MM")</f>
        <v>03</v>
      </c>
      <c r="C38" s="13">
        <v>45005</v>
      </c>
      <c r="D38" t="str">
        <f>_xlfn.XLOOKUP(Sales__tbl[[#This Row],[customer_id]],customer_tbl[customer_id],customer_tbl[Branch_id],"Not found")</f>
        <v>S01</v>
      </c>
      <c r="E38" t="s">
        <v>1076</v>
      </c>
      <c r="F38" t="s">
        <v>967</v>
      </c>
      <c r="G38" t="s">
        <v>872</v>
      </c>
      <c r="H38">
        <v>1</v>
      </c>
      <c r="I38">
        <v>91.73</v>
      </c>
      <c r="J38">
        <v>0</v>
      </c>
      <c r="K38" s="3">
        <v>0</v>
      </c>
      <c r="L38">
        <v>91.73</v>
      </c>
      <c r="M38">
        <v>15.290000000000006</v>
      </c>
      <c r="N38" t="str">
        <f>"P. "&amp;(Sales__tbl[[#This Row],[product_id]]&amp;"."&amp;TEXT(Sales__tbl[[#This Row],[selling_price]],"0.00"))</f>
        <v>P. P.id12.91.73</v>
      </c>
    </row>
    <row r="39" spans="1:14" x14ac:dyDescent="0.25">
      <c r="A39">
        <v>38</v>
      </c>
      <c r="B39" s="9" t="str">
        <f>TEXT(Sales__tbl[[#This Row],[date]],"MM")</f>
        <v>03</v>
      </c>
      <c r="C39" s="13">
        <v>45006</v>
      </c>
      <c r="D39" t="str">
        <f>_xlfn.XLOOKUP(Sales__tbl[[#This Row],[customer_id]],customer_tbl[customer_id],customer_tbl[Branch_id],"Not found")</f>
        <v>C01</v>
      </c>
      <c r="E39" t="s">
        <v>1077</v>
      </c>
      <c r="F39" t="s">
        <v>962</v>
      </c>
      <c r="G39" t="s">
        <v>941</v>
      </c>
      <c r="H39">
        <v>1</v>
      </c>
      <c r="I39">
        <v>259.11</v>
      </c>
      <c r="J39">
        <v>0.1</v>
      </c>
      <c r="K39" s="3">
        <v>25.911000000000001</v>
      </c>
      <c r="L39">
        <v>233.19900000000001</v>
      </c>
      <c r="M39">
        <v>59.299000000000007</v>
      </c>
      <c r="N39" t="str">
        <f>"P. "&amp;(Sales__tbl[[#This Row],[product_id]]&amp;"."&amp;TEXT(Sales__tbl[[#This Row],[selling_price]],"0.00"))</f>
        <v>P. P.id07.259.11</v>
      </c>
    </row>
    <row r="40" spans="1:14" x14ac:dyDescent="0.25">
      <c r="A40">
        <v>39</v>
      </c>
      <c r="B40" s="9" t="str">
        <f>TEXT(Sales__tbl[[#This Row],[date]],"MM")</f>
        <v>03</v>
      </c>
      <c r="C40" s="13">
        <v>45007</v>
      </c>
      <c r="D40" t="str">
        <f>_xlfn.XLOOKUP(Sales__tbl[[#This Row],[customer_id]],customer_tbl[customer_id],customer_tbl[Branch_id],"Not found")</f>
        <v>S02</v>
      </c>
      <c r="E40" t="s">
        <v>1078</v>
      </c>
      <c r="F40" t="s">
        <v>967</v>
      </c>
      <c r="G40" t="s">
        <v>872</v>
      </c>
      <c r="H40">
        <v>1</v>
      </c>
      <c r="I40">
        <v>91.73</v>
      </c>
      <c r="J40">
        <v>0</v>
      </c>
      <c r="K40" s="3">
        <v>0</v>
      </c>
      <c r="L40">
        <v>91.73</v>
      </c>
      <c r="M40">
        <v>15.290000000000006</v>
      </c>
      <c r="N40" t="str">
        <f>"P. "&amp;(Sales__tbl[[#This Row],[product_id]]&amp;"."&amp;TEXT(Sales__tbl[[#This Row],[selling_price]],"0.00"))</f>
        <v>P. P.id12.91.73</v>
      </c>
    </row>
    <row r="41" spans="1:14" x14ac:dyDescent="0.25">
      <c r="A41">
        <v>40</v>
      </c>
      <c r="B41" s="9" t="str">
        <f>TEXT(Sales__tbl[[#This Row],[date]],"MM")</f>
        <v>03</v>
      </c>
      <c r="C41" s="13">
        <v>45008</v>
      </c>
      <c r="D41" t="str">
        <f>_xlfn.XLOOKUP(Sales__tbl[[#This Row],[customer_id]],customer_tbl[customer_id],customer_tbl[Branch_id],"Not found")</f>
        <v>C02</v>
      </c>
      <c r="E41" t="s">
        <v>990</v>
      </c>
      <c r="F41" t="s">
        <v>965</v>
      </c>
      <c r="G41" t="s">
        <v>847</v>
      </c>
      <c r="H41">
        <v>1</v>
      </c>
      <c r="I41">
        <v>168</v>
      </c>
      <c r="J41">
        <v>0.1</v>
      </c>
      <c r="K41" s="3">
        <v>16.799999999999983</v>
      </c>
      <c r="L41">
        <v>151.20000000000002</v>
      </c>
      <c r="M41">
        <v>29.460000000000022</v>
      </c>
      <c r="N41" t="str">
        <f>"P. "&amp;(Sales__tbl[[#This Row],[product_id]]&amp;"."&amp;TEXT(Sales__tbl[[#This Row],[selling_price]],"0.00"))</f>
        <v>P. P.id10.168.00</v>
      </c>
    </row>
    <row r="42" spans="1:14" x14ac:dyDescent="0.25">
      <c r="A42">
        <v>41</v>
      </c>
      <c r="B42" s="9" t="str">
        <f>TEXT(Sales__tbl[[#This Row],[date]],"MM")</f>
        <v>03</v>
      </c>
      <c r="C42" s="13">
        <v>45009</v>
      </c>
      <c r="D42" t="str">
        <f>_xlfn.XLOOKUP(Sales__tbl[[#This Row],[customer_id]],customer_tbl[customer_id],customer_tbl[Branch_id],"Not found")</f>
        <v>W02</v>
      </c>
      <c r="E42" t="s">
        <v>1079</v>
      </c>
      <c r="F42" t="s">
        <v>958</v>
      </c>
      <c r="G42" t="s">
        <v>939</v>
      </c>
      <c r="H42">
        <v>1</v>
      </c>
      <c r="I42">
        <v>90.53</v>
      </c>
      <c r="J42">
        <v>0</v>
      </c>
      <c r="K42" s="3">
        <v>0</v>
      </c>
      <c r="L42">
        <v>90.53</v>
      </c>
      <c r="M42">
        <v>12.489999999999995</v>
      </c>
      <c r="N42" t="str">
        <f>"P. "&amp;(Sales__tbl[[#This Row],[product_id]]&amp;"."&amp;TEXT(Sales__tbl[[#This Row],[selling_price]],"0.00"))</f>
        <v>P. P.id03.90.53</v>
      </c>
    </row>
    <row r="43" spans="1:14" x14ac:dyDescent="0.25">
      <c r="A43">
        <v>42</v>
      </c>
      <c r="B43" s="9" t="str">
        <f>TEXT(Sales__tbl[[#This Row],[date]],"MM")</f>
        <v>03</v>
      </c>
      <c r="C43" s="13">
        <v>45010</v>
      </c>
      <c r="D43" t="str">
        <f>_xlfn.XLOOKUP(Sales__tbl[[#This Row],[customer_id]],customer_tbl[customer_id],customer_tbl[Branch_id],"Not found")</f>
        <v>W02</v>
      </c>
      <c r="E43" t="s">
        <v>1080</v>
      </c>
      <c r="F43" t="s">
        <v>967</v>
      </c>
      <c r="G43" t="s">
        <v>872</v>
      </c>
      <c r="H43">
        <v>1</v>
      </c>
      <c r="I43">
        <v>91.73</v>
      </c>
      <c r="J43">
        <v>0</v>
      </c>
      <c r="K43" s="3">
        <v>0</v>
      </c>
      <c r="L43">
        <v>91.73</v>
      </c>
      <c r="M43">
        <v>15.290000000000006</v>
      </c>
      <c r="N43" t="str">
        <f>"P. "&amp;(Sales__tbl[[#This Row],[product_id]]&amp;"."&amp;TEXT(Sales__tbl[[#This Row],[selling_price]],"0.00"))</f>
        <v>P. P.id12.91.73</v>
      </c>
    </row>
    <row r="44" spans="1:14" x14ac:dyDescent="0.25">
      <c r="A44">
        <v>43</v>
      </c>
      <c r="B44" s="9" t="str">
        <f>TEXT(Sales__tbl[[#This Row],[date]],"MM")</f>
        <v>03</v>
      </c>
      <c r="C44" s="13">
        <v>45011</v>
      </c>
      <c r="D44" t="str">
        <f>_xlfn.XLOOKUP(Sales__tbl[[#This Row],[customer_id]],customer_tbl[customer_id],customer_tbl[Branch_id],"Not found")</f>
        <v>C02</v>
      </c>
      <c r="E44" t="s">
        <v>1081</v>
      </c>
      <c r="F44" t="s">
        <v>956</v>
      </c>
      <c r="G44" t="s">
        <v>831</v>
      </c>
      <c r="H44">
        <v>1</v>
      </c>
      <c r="I44">
        <v>303.48</v>
      </c>
      <c r="J44">
        <v>0.15</v>
      </c>
      <c r="K44" s="3">
        <v>45.521999999999991</v>
      </c>
      <c r="L44">
        <v>257.95800000000003</v>
      </c>
      <c r="M44">
        <v>64.658000000000015</v>
      </c>
      <c r="N44" t="str">
        <f>"P. "&amp;(Sales__tbl[[#This Row],[product_id]]&amp;"."&amp;TEXT(Sales__tbl[[#This Row],[selling_price]],"0.00"))</f>
        <v>P. P.id01.303.48</v>
      </c>
    </row>
    <row r="45" spans="1:14" x14ac:dyDescent="0.25">
      <c r="A45">
        <v>44</v>
      </c>
      <c r="B45" s="9" t="str">
        <f>TEXT(Sales__tbl[[#This Row],[date]],"MM")</f>
        <v>03</v>
      </c>
      <c r="C45" s="13">
        <v>45012</v>
      </c>
      <c r="D45" t="str">
        <f>_xlfn.XLOOKUP(Sales__tbl[[#This Row],[customer_id]],customer_tbl[customer_id],customer_tbl[Branch_id],"Not found")</f>
        <v>W01</v>
      </c>
      <c r="E45" t="s">
        <v>1082</v>
      </c>
      <c r="F45" t="s">
        <v>967</v>
      </c>
      <c r="G45" t="s">
        <v>872</v>
      </c>
      <c r="H45">
        <v>1</v>
      </c>
      <c r="I45">
        <v>91.73</v>
      </c>
      <c r="J45">
        <v>0</v>
      </c>
      <c r="K45" s="3">
        <v>0</v>
      </c>
      <c r="L45">
        <v>91.73</v>
      </c>
      <c r="M45">
        <v>15.290000000000006</v>
      </c>
      <c r="N45" t="str">
        <f>"P. "&amp;(Sales__tbl[[#This Row],[product_id]]&amp;"."&amp;TEXT(Sales__tbl[[#This Row],[selling_price]],"0.00"))</f>
        <v>P. P.id12.91.73</v>
      </c>
    </row>
    <row r="46" spans="1:14" x14ac:dyDescent="0.25">
      <c r="A46">
        <v>45</v>
      </c>
      <c r="B46" s="9" t="str">
        <f>TEXT(Sales__tbl[[#This Row],[date]],"MM")</f>
        <v>03</v>
      </c>
      <c r="C46" s="13">
        <v>45013</v>
      </c>
      <c r="D46" t="str">
        <f>_xlfn.XLOOKUP(Sales__tbl[[#This Row],[customer_id]],customer_tbl[customer_id],customer_tbl[Branch_id],"Not found")</f>
        <v>C02</v>
      </c>
      <c r="E46" t="s">
        <v>1083</v>
      </c>
      <c r="F46" t="s">
        <v>963</v>
      </c>
      <c r="G46" t="s">
        <v>942</v>
      </c>
      <c r="H46">
        <v>1</v>
      </c>
      <c r="I46">
        <v>274.16000000000003</v>
      </c>
      <c r="J46">
        <v>0.1</v>
      </c>
      <c r="K46" s="3">
        <v>27.415999999999997</v>
      </c>
      <c r="L46">
        <v>246.74400000000003</v>
      </c>
      <c r="M46">
        <v>56.354000000000042</v>
      </c>
      <c r="N46" t="str">
        <f>"P. "&amp;(Sales__tbl[[#This Row],[product_id]]&amp;"."&amp;TEXT(Sales__tbl[[#This Row],[selling_price]],"0.00"))</f>
        <v>P. P.id08.274.16</v>
      </c>
    </row>
    <row r="47" spans="1:14" x14ac:dyDescent="0.25">
      <c r="A47">
        <v>46</v>
      </c>
      <c r="B47" s="9" t="str">
        <f>TEXT(Sales__tbl[[#This Row],[date]],"MM")</f>
        <v>03</v>
      </c>
      <c r="C47" s="13">
        <v>45014</v>
      </c>
      <c r="D47" t="str">
        <f>_xlfn.XLOOKUP(Sales__tbl[[#This Row],[customer_id]],customer_tbl[customer_id],customer_tbl[Branch_id],"Not found")</f>
        <v>C02</v>
      </c>
      <c r="E47" t="s">
        <v>1054</v>
      </c>
      <c r="F47" t="s">
        <v>966</v>
      </c>
      <c r="G47" t="s">
        <v>851</v>
      </c>
      <c r="H47">
        <v>1</v>
      </c>
      <c r="I47">
        <v>196.75</v>
      </c>
      <c r="J47">
        <v>0.1</v>
      </c>
      <c r="K47" s="3">
        <v>19.674999999999983</v>
      </c>
      <c r="L47">
        <v>177.07500000000002</v>
      </c>
      <c r="M47">
        <v>20.925000000000011</v>
      </c>
      <c r="N47" t="str">
        <f>"P. "&amp;(Sales__tbl[[#This Row],[product_id]]&amp;"."&amp;TEXT(Sales__tbl[[#This Row],[selling_price]],"0.00"))</f>
        <v>P. P.id11.196.75</v>
      </c>
    </row>
    <row r="48" spans="1:14" x14ac:dyDescent="0.25">
      <c r="A48">
        <v>47</v>
      </c>
      <c r="B48" s="9" t="str">
        <f>TEXT(Sales__tbl[[#This Row],[date]],"MM")</f>
        <v>03</v>
      </c>
      <c r="C48" s="13">
        <v>45015</v>
      </c>
      <c r="D48" t="str">
        <f>_xlfn.XLOOKUP(Sales__tbl[[#This Row],[customer_id]],customer_tbl[customer_id],customer_tbl[Branch_id],"Not found")</f>
        <v>S01</v>
      </c>
      <c r="E48" t="s">
        <v>993</v>
      </c>
      <c r="F48" t="s">
        <v>958</v>
      </c>
      <c r="G48" t="s">
        <v>939</v>
      </c>
      <c r="H48">
        <v>1</v>
      </c>
      <c r="I48">
        <v>90.53</v>
      </c>
      <c r="J48">
        <v>0</v>
      </c>
      <c r="K48" s="3">
        <v>0</v>
      </c>
      <c r="L48">
        <v>90.53</v>
      </c>
      <c r="M48">
        <v>12.489999999999995</v>
      </c>
      <c r="N48" t="str">
        <f>"P. "&amp;(Sales__tbl[[#This Row],[product_id]]&amp;"."&amp;TEXT(Sales__tbl[[#This Row],[selling_price]],"0.00"))</f>
        <v>P. P.id03.90.53</v>
      </c>
    </row>
    <row r="49" spans="1:14" x14ac:dyDescent="0.25">
      <c r="A49">
        <v>48</v>
      </c>
      <c r="B49" s="9" t="str">
        <f>TEXT(Sales__tbl[[#This Row],[date]],"MM")</f>
        <v>03</v>
      </c>
      <c r="C49" s="13">
        <v>45016</v>
      </c>
      <c r="D49" t="str">
        <f>_xlfn.XLOOKUP(Sales__tbl[[#This Row],[customer_id]],customer_tbl[customer_id],customer_tbl[Branch_id],"Not found")</f>
        <v>S02</v>
      </c>
      <c r="E49" t="s">
        <v>1057</v>
      </c>
      <c r="F49" t="s">
        <v>957</v>
      </c>
      <c r="G49" t="s">
        <v>833</v>
      </c>
      <c r="H49">
        <v>1</v>
      </c>
      <c r="I49">
        <v>55.26</v>
      </c>
      <c r="J49">
        <v>0</v>
      </c>
      <c r="K49" s="3">
        <v>0</v>
      </c>
      <c r="L49">
        <v>55.26</v>
      </c>
      <c r="M49">
        <v>19.839999999999996</v>
      </c>
      <c r="N49" t="str">
        <f>"P. "&amp;(Sales__tbl[[#This Row],[product_id]]&amp;"."&amp;TEXT(Sales__tbl[[#This Row],[selling_price]],"0.00"))</f>
        <v>P. P.id02.55.26</v>
      </c>
    </row>
    <row r="50" spans="1:14" x14ac:dyDescent="0.25">
      <c r="A50">
        <v>49</v>
      </c>
      <c r="B50" s="9" t="str">
        <f>TEXT(Sales__tbl[[#This Row],[date]],"MM")</f>
        <v>04</v>
      </c>
      <c r="C50" s="13">
        <v>45017</v>
      </c>
      <c r="D50" t="str">
        <f>_xlfn.XLOOKUP(Sales__tbl[[#This Row],[customer_id]],customer_tbl[customer_id],customer_tbl[Branch_id],"Not found")</f>
        <v>E01</v>
      </c>
      <c r="E50" t="s">
        <v>1035</v>
      </c>
      <c r="F50" t="s">
        <v>966</v>
      </c>
      <c r="G50" t="s">
        <v>851</v>
      </c>
      <c r="H50">
        <v>1</v>
      </c>
      <c r="I50">
        <v>196.75</v>
      </c>
      <c r="J50">
        <v>0.1</v>
      </c>
      <c r="K50" s="3">
        <v>19.674999999999983</v>
      </c>
      <c r="L50">
        <v>177.07500000000002</v>
      </c>
      <c r="M50">
        <v>20.925000000000011</v>
      </c>
      <c r="N50" t="str">
        <f>"P. "&amp;(Sales__tbl[[#This Row],[product_id]]&amp;"."&amp;TEXT(Sales__tbl[[#This Row],[selling_price]],"0.00"))</f>
        <v>P. P.id11.196.75</v>
      </c>
    </row>
    <row r="51" spans="1:14" x14ac:dyDescent="0.25">
      <c r="A51">
        <v>50</v>
      </c>
      <c r="B51" s="9" t="str">
        <f>TEXT(Sales__tbl[[#This Row],[date]],"MM")</f>
        <v>04</v>
      </c>
      <c r="C51" s="13">
        <v>45018</v>
      </c>
      <c r="D51" t="str">
        <f>_xlfn.XLOOKUP(Sales__tbl[[#This Row],[customer_id]],customer_tbl[customer_id],customer_tbl[Branch_id],"Not found")</f>
        <v>C02</v>
      </c>
      <c r="E51" t="s">
        <v>1000</v>
      </c>
      <c r="F51" t="s">
        <v>963</v>
      </c>
      <c r="G51" t="s">
        <v>942</v>
      </c>
      <c r="H51">
        <v>1</v>
      </c>
      <c r="I51">
        <v>274.16000000000003</v>
      </c>
      <c r="J51">
        <v>0.1</v>
      </c>
      <c r="K51" s="3">
        <v>27.415999999999997</v>
      </c>
      <c r="L51">
        <v>246.74400000000003</v>
      </c>
      <c r="M51">
        <v>56.354000000000042</v>
      </c>
      <c r="N51" t="str">
        <f>"P. "&amp;(Sales__tbl[[#This Row],[product_id]]&amp;"."&amp;TEXT(Sales__tbl[[#This Row],[selling_price]],"0.00"))</f>
        <v>P. P.id08.274.16</v>
      </c>
    </row>
    <row r="52" spans="1:14" x14ac:dyDescent="0.25">
      <c r="A52">
        <v>51</v>
      </c>
      <c r="B52" s="9" t="str">
        <f>TEXT(Sales__tbl[[#This Row],[date]],"MM")</f>
        <v>04</v>
      </c>
      <c r="C52" s="13">
        <v>45019</v>
      </c>
      <c r="D52" t="str">
        <f>_xlfn.XLOOKUP(Sales__tbl[[#This Row],[customer_id]],customer_tbl[customer_id],customer_tbl[Branch_id],"Not found")</f>
        <v>E01</v>
      </c>
      <c r="E52" t="s">
        <v>1084</v>
      </c>
      <c r="F52" t="s">
        <v>958</v>
      </c>
      <c r="G52" t="s">
        <v>939</v>
      </c>
      <c r="H52">
        <v>1</v>
      </c>
      <c r="I52">
        <v>90.53</v>
      </c>
      <c r="J52">
        <v>0</v>
      </c>
      <c r="K52" s="3">
        <v>0</v>
      </c>
      <c r="L52">
        <v>90.53</v>
      </c>
      <c r="M52">
        <v>12.489999999999995</v>
      </c>
      <c r="N52" t="str">
        <f>"P. "&amp;(Sales__tbl[[#This Row],[product_id]]&amp;"."&amp;TEXT(Sales__tbl[[#This Row],[selling_price]],"0.00"))</f>
        <v>P. P.id03.90.53</v>
      </c>
    </row>
    <row r="53" spans="1:14" x14ac:dyDescent="0.25">
      <c r="A53">
        <v>52</v>
      </c>
      <c r="B53" s="9" t="str">
        <f>TEXT(Sales__tbl[[#This Row],[date]],"MM")</f>
        <v>04</v>
      </c>
      <c r="C53" s="13">
        <v>45020</v>
      </c>
      <c r="D53" t="str">
        <f>_xlfn.XLOOKUP(Sales__tbl[[#This Row],[customer_id]],customer_tbl[customer_id],customer_tbl[Branch_id],"Not found")</f>
        <v>S02</v>
      </c>
      <c r="E53" t="s">
        <v>1085</v>
      </c>
      <c r="F53" t="s">
        <v>961</v>
      </c>
      <c r="G53" t="s">
        <v>940</v>
      </c>
      <c r="H53">
        <v>1</v>
      </c>
      <c r="I53">
        <v>66.790000000000006</v>
      </c>
      <c r="J53">
        <v>0</v>
      </c>
      <c r="K53" s="3">
        <v>0</v>
      </c>
      <c r="L53">
        <v>66.790000000000006</v>
      </c>
      <c r="M53">
        <v>22.850000000000009</v>
      </c>
      <c r="N53" t="str">
        <f>"P. "&amp;(Sales__tbl[[#This Row],[product_id]]&amp;"."&amp;TEXT(Sales__tbl[[#This Row],[selling_price]],"0.00"))</f>
        <v>P. P.id06.66.79</v>
      </c>
    </row>
    <row r="54" spans="1:14" x14ac:dyDescent="0.25">
      <c r="A54">
        <v>53</v>
      </c>
      <c r="B54" s="9" t="str">
        <f>TEXT(Sales__tbl[[#This Row],[date]],"MM")</f>
        <v>04</v>
      </c>
      <c r="C54" s="13">
        <v>45021</v>
      </c>
      <c r="D54" t="str">
        <f>_xlfn.XLOOKUP(Sales__tbl[[#This Row],[customer_id]],customer_tbl[customer_id],customer_tbl[Branch_id],"Not found")</f>
        <v>W01</v>
      </c>
      <c r="E54" t="s">
        <v>1086</v>
      </c>
      <c r="F54" t="s">
        <v>964</v>
      </c>
      <c r="G54" t="s">
        <v>943</v>
      </c>
      <c r="H54">
        <v>1</v>
      </c>
      <c r="I54">
        <v>190.58</v>
      </c>
      <c r="J54">
        <v>0.1</v>
      </c>
      <c r="K54" s="3">
        <v>19.057999999999993</v>
      </c>
      <c r="L54">
        <v>171.52200000000002</v>
      </c>
      <c r="M54">
        <v>23.782000000000011</v>
      </c>
      <c r="N54" t="str">
        <f>"P. "&amp;(Sales__tbl[[#This Row],[product_id]]&amp;"."&amp;TEXT(Sales__tbl[[#This Row],[selling_price]],"0.00"))</f>
        <v>P. P.id09.190.58</v>
      </c>
    </row>
    <row r="55" spans="1:14" x14ac:dyDescent="0.25">
      <c r="A55">
        <v>54</v>
      </c>
      <c r="B55" s="9" t="str">
        <f>TEXT(Sales__tbl[[#This Row],[date]],"MM")</f>
        <v>04</v>
      </c>
      <c r="C55" s="13">
        <v>45022</v>
      </c>
      <c r="D55" t="str">
        <f>_xlfn.XLOOKUP(Sales__tbl[[#This Row],[customer_id]],customer_tbl[customer_id],customer_tbl[Branch_id],"Not found")</f>
        <v>S01</v>
      </c>
      <c r="E55" t="s">
        <v>1072</v>
      </c>
      <c r="F55" t="s">
        <v>965</v>
      </c>
      <c r="G55" t="s">
        <v>847</v>
      </c>
      <c r="H55">
        <v>1</v>
      </c>
      <c r="I55">
        <v>168</v>
      </c>
      <c r="J55">
        <v>0.1</v>
      </c>
      <c r="K55" s="3">
        <v>16.799999999999983</v>
      </c>
      <c r="L55">
        <v>151.20000000000002</v>
      </c>
      <c r="M55">
        <v>29.460000000000022</v>
      </c>
      <c r="N55" t="str">
        <f>"P. "&amp;(Sales__tbl[[#This Row],[product_id]]&amp;"."&amp;TEXT(Sales__tbl[[#This Row],[selling_price]],"0.00"))</f>
        <v>P. P.id10.168.00</v>
      </c>
    </row>
    <row r="56" spans="1:14" x14ac:dyDescent="0.25">
      <c r="A56">
        <v>55</v>
      </c>
      <c r="B56" s="9" t="str">
        <f>TEXT(Sales__tbl[[#This Row],[date]],"MM")</f>
        <v>04</v>
      </c>
      <c r="C56" s="13">
        <v>45023</v>
      </c>
      <c r="D56" t="str">
        <f>_xlfn.XLOOKUP(Sales__tbl[[#This Row],[customer_id]],customer_tbl[customer_id],customer_tbl[Branch_id],"Not found")</f>
        <v>E02</v>
      </c>
      <c r="E56" t="s">
        <v>1002</v>
      </c>
      <c r="F56" t="s">
        <v>958</v>
      </c>
      <c r="G56" t="s">
        <v>939</v>
      </c>
      <c r="H56">
        <v>1</v>
      </c>
      <c r="I56">
        <v>90.53</v>
      </c>
      <c r="J56">
        <v>0</v>
      </c>
      <c r="K56" s="3">
        <v>0</v>
      </c>
      <c r="L56">
        <v>90.53</v>
      </c>
      <c r="M56">
        <v>12.489999999999995</v>
      </c>
      <c r="N56" t="str">
        <f>"P. "&amp;(Sales__tbl[[#This Row],[product_id]]&amp;"."&amp;TEXT(Sales__tbl[[#This Row],[selling_price]],"0.00"))</f>
        <v>P. P.id03.90.53</v>
      </c>
    </row>
    <row r="57" spans="1:14" x14ac:dyDescent="0.25">
      <c r="A57">
        <v>56</v>
      </c>
      <c r="B57" s="9" t="str">
        <f>TEXT(Sales__tbl[[#This Row],[date]],"MM")</f>
        <v>04</v>
      </c>
      <c r="C57" s="13">
        <v>45024</v>
      </c>
      <c r="D57" t="str">
        <f>_xlfn.XLOOKUP(Sales__tbl[[#This Row],[customer_id]],customer_tbl[customer_id],customer_tbl[Branch_id],"Not found")</f>
        <v>W01</v>
      </c>
      <c r="E57" t="s">
        <v>1087</v>
      </c>
      <c r="F57" t="s">
        <v>959</v>
      </c>
      <c r="G57" t="s">
        <v>837</v>
      </c>
      <c r="H57">
        <v>1</v>
      </c>
      <c r="I57">
        <v>11.53</v>
      </c>
      <c r="J57">
        <v>0</v>
      </c>
      <c r="K57" s="3">
        <v>0</v>
      </c>
      <c r="L57">
        <v>11.53</v>
      </c>
      <c r="M57">
        <v>2.5199999999999996</v>
      </c>
      <c r="N57" t="str">
        <f>"P. "&amp;(Sales__tbl[[#This Row],[product_id]]&amp;"."&amp;TEXT(Sales__tbl[[#This Row],[selling_price]],"0.00"))</f>
        <v>P. P.id04.11.53</v>
      </c>
    </row>
    <row r="58" spans="1:14" x14ac:dyDescent="0.25">
      <c r="A58">
        <v>57</v>
      </c>
      <c r="B58" s="9" t="str">
        <f>TEXT(Sales__tbl[[#This Row],[date]],"MM")</f>
        <v>04</v>
      </c>
      <c r="C58" s="13">
        <v>45025</v>
      </c>
      <c r="D58" t="str">
        <f>_xlfn.XLOOKUP(Sales__tbl[[#This Row],[customer_id]],customer_tbl[customer_id],customer_tbl[Branch_id],"Not found")</f>
        <v>S02</v>
      </c>
      <c r="E58" t="s">
        <v>1088</v>
      </c>
      <c r="F58" t="s">
        <v>965</v>
      </c>
      <c r="G58" t="s">
        <v>847</v>
      </c>
      <c r="H58">
        <v>1</v>
      </c>
      <c r="I58">
        <v>168</v>
      </c>
      <c r="J58">
        <v>0.1</v>
      </c>
      <c r="K58" s="3">
        <v>16.799999999999983</v>
      </c>
      <c r="L58">
        <v>151.20000000000002</v>
      </c>
      <c r="M58">
        <v>29.460000000000022</v>
      </c>
      <c r="N58" t="str">
        <f>"P. "&amp;(Sales__tbl[[#This Row],[product_id]]&amp;"."&amp;TEXT(Sales__tbl[[#This Row],[selling_price]],"0.00"))</f>
        <v>P. P.id10.168.00</v>
      </c>
    </row>
    <row r="59" spans="1:14" x14ac:dyDescent="0.25">
      <c r="A59">
        <v>58</v>
      </c>
      <c r="B59" s="9" t="str">
        <f>TEXT(Sales__tbl[[#This Row],[date]],"MM")</f>
        <v>04</v>
      </c>
      <c r="C59" s="13">
        <v>45026</v>
      </c>
      <c r="D59" t="str">
        <f>_xlfn.XLOOKUP(Sales__tbl[[#This Row],[customer_id]],customer_tbl[customer_id],customer_tbl[Branch_id],"Not found")</f>
        <v>E02</v>
      </c>
      <c r="E59" t="s">
        <v>1002</v>
      </c>
      <c r="F59" t="s">
        <v>963</v>
      </c>
      <c r="G59" t="s">
        <v>942</v>
      </c>
      <c r="H59">
        <v>1</v>
      </c>
      <c r="I59">
        <v>274.16000000000003</v>
      </c>
      <c r="J59">
        <v>0.1</v>
      </c>
      <c r="K59" s="3">
        <v>27.415999999999997</v>
      </c>
      <c r="L59">
        <v>246.74400000000003</v>
      </c>
      <c r="M59">
        <v>56.354000000000042</v>
      </c>
      <c r="N59" t="str">
        <f>"P. "&amp;(Sales__tbl[[#This Row],[product_id]]&amp;"."&amp;TEXT(Sales__tbl[[#This Row],[selling_price]],"0.00"))</f>
        <v>P. P.id08.274.16</v>
      </c>
    </row>
    <row r="60" spans="1:14" x14ac:dyDescent="0.25">
      <c r="A60">
        <v>59</v>
      </c>
      <c r="B60" s="9" t="str">
        <f>TEXT(Sales__tbl[[#This Row],[date]],"MM")</f>
        <v>04</v>
      </c>
      <c r="C60" s="13">
        <v>45027</v>
      </c>
      <c r="D60" t="str">
        <f>_xlfn.XLOOKUP(Sales__tbl[[#This Row],[customer_id]],customer_tbl[customer_id],customer_tbl[Branch_id],"Not found")</f>
        <v>N02</v>
      </c>
      <c r="E60" t="s">
        <v>1089</v>
      </c>
      <c r="F60" t="s">
        <v>962</v>
      </c>
      <c r="G60" t="s">
        <v>941</v>
      </c>
      <c r="H60">
        <v>1</v>
      </c>
      <c r="I60">
        <v>259.11</v>
      </c>
      <c r="J60">
        <v>0.1</v>
      </c>
      <c r="K60" s="3">
        <v>25.911000000000001</v>
      </c>
      <c r="L60">
        <v>233.19900000000001</v>
      </c>
      <c r="M60">
        <v>59.299000000000007</v>
      </c>
      <c r="N60" t="str">
        <f>"P. "&amp;(Sales__tbl[[#This Row],[product_id]]&amp;"."&amp;TEXT(Sales__tbl[[#This Row],[selling_price]],"0.00"))</f>
        <v>P. P.id07.259.11</v>
      </c>
    </row>
    <row r="61" spans="1:14" x14ac:dyDescent="0.25">
      <c r="A61">
        <v>60</v>
      </c>
      <c r="B61" s="9" t="str">
        <f>TEXT(Sales__tbl[[#This Row],[date]],"MM")</f>
        <v>04</v>
      </c>
      <c r="C61" s="13">
        <v>45028</v>
      </c>
      <c r="D61" t="str">
        <f>_xlfn.XLOOKUP(Sales__tbl[[#This Row],[customer_id]],customer_tbl[customer_id],customer_tbl[Branch_id],"Not found")</f>
        <v>S02</v>
      </c>
      <c r="E61" t="s">
        <v>1090</v>
      </c>
      <c r="F61" t="s">
        <v>960</v>
      </c>
      <c r="G61" t="s">
        <v>839</v>
      </c>
      <c r="H61">
        <v>2</v>
      </c>
      <c r="I61">
        <v>165.45</v>
      </c>
      <c r="J61">
        <v>0.15</v>
      </c>
      <c r="K61" s="3">
        <v>49.634999999999991</v>
      </c>
      <c r="L61">
        <v>281.26499999999999</v>
      </c>
      <c r="M61">
        <v>34.324999999999989</v>
      </c>
      <c r="N61" t="str">
        <f>"P. "&amp;(Sales__tbl[[#This Row],[product_id]]&amp;"."&amp;TEXT(Sales__tbl[[#This Row],[selling_price]],"0.00"))</f>
        <v>P. P.id05.165.45</v>
      </c>
    </row>
    <row r="62" spans="1:14" x14ac:dyDescent="0.25">
      <c r="A62">
        <v>61</v>
      </c>
      <c r="B62" s="9" t="str">
        <f>TEXT(Sales__tbl[[#This Row],[date]],"MM")</f>
        <v>04</v>
      </c>
      <c r="C62" s="13">
        <v>45029</v>
      </c>
      <c r="D62" t="str">
        <f>_xlfn.XLOOKUP(Sales__tbl[[#This Row],[customer_id]],customer_tbl[customer_id],customer_tbl[Branch_id],"Not found")</f>
        <v>E02</v>
      </c>
      <c r="E62" t="s">
        <v>1091</v>
      </c>
      <c r="F62" t="s">
        <v>962</v>
      </c>
      <c r="G62" t="s">
        <v>941</v>
      </c>
      <c r="H62">
        <v>1</v>
      </c>
      <c r="I62">
        <v>259.11</v>
      </c>
      <c r="J62">
        <v>0.1</v>
      </c>
      <c r="K62" s="3">
        <v>25.911000000000001</v>
      </c>
      <c r="L62">
        <v>233.19900000000001</v>
      </c>
      <c r="M62">
        <v>59.299000000000007</v>
      </c>
      <c r="N62" t="str">
        <f>"P. "&amp;(Sales__tbl[[#This Row],[product_id]]&amp;"."&amp;TEXT(Sales__tbl[[#This Row],[selling_price]],"0.00"))</f>
        <v>P. P.id07.259.11</v>
      </c>
    </row>
    <row r="63" spans="1:14" x14ac:dyDescent="0.25">
      <c r="A63">
        <v>62</v>
      </c>
      <c r="B63" s="9" t="str">
        <f>TEXT(Sales__tbl[[#This Row],[date]],"MM")</f>
        <v>04</v>
      </c>
      <c r="C63" s="13">
        <v>45030</v>
      </c>
      <c r="D63" t="str">
        <f>_xlfn.XLOOKUP(Sales__tbl[[#This Row],[customer_id]],customer_tbl[customer_id],customer_tbl[Branch_id],"Not found")</f>
        <v>S02</v>
      </c>
      <c r="E63" t="s">
        <v>1092</v>
      </c>
      <c r="F63" t="s">
        <v>962</v>
      </c>
      <c r="G63" t="s">
        <v>941</v>
      </c>
      <c r="H63">
        <v>1</v>
      </c>
      <c r="I63">
        <v>259.11</v>
      </c>
      <c r="J63">
        <v>0.1</v>
      </c>
      <c r="K63" s="3">
        <v>25.911000000000001</v>
      </c>
      <c r="L63">
        <v>233.19900000000001</v>
      </c>
      <c r="M63">
        <v>59.299000000000007</v>
      </c>
      <c r="N63" t="str">
        <f>"P. "&amp;(Sales__tbl[[#This Row],[product_id]]&amp;"."&amp;TEXT(Sales__tbl[[#This Row],[selling_price]],"0.00"))</f>
        <v>P. P.id07.259.11</v>
      </c>
    </row>
    <row r="64" spans="1:14" x14ac:dyDescent="0.25">
      <c r="A64">
        <v>63</v>
      </c>
      <c r="B64" s="9" t="str">
        <f>TEXT(Sales__tbl[[#This Row],[date]],"MM")</f>
        <v>04</v>
      </c>
      <c r="C64" s="13">
        <v>45031</v>
      </c>
      <c r="D64" t="str">
        <f>_xlfn.XLOOKUP(Sales__tbl[[#This Row],[customer_id]],customer_tbl[customer_id],customer_tbl[Branch_id],"Not found")</f>
        <v>E02</v>
      </c>
      <c r="E64" t="s">
        <v>1034</v>
      </c>
      <c r="F64" t="s">
        <v>958</v>
      </c>
      <c r="G64" t="s">
        <v>939</v>
      </c>
      <c r="H64">
        <v>1</v>
      </c>
      <c r="I64">
        <v>90.53</v>
      </c>
      <c r="J64">
        <v>0</v>
      </c>
      <c r="K64" s="3">
        <v>0</v>
      </c>
      <c r="L64">
        <v>90.53</v>
      </c>
      <c r="M64">
        <v>12.489999999999995</v>
      </c>
      <c r="N64" t="str">
        <f>"P. "&amp;(Sales__tbl[[#This Row],[product_id]]&amp;"."&amp;TEXT(Sales__tbl[[#This Row],[selling_price]],"0.00"))</f>
        <v>P. P.id03.90.53</v>
      </c>
    </row>
    <row r="65" spans="1:14" x14ac:dyDescent="0.25">
      <c r="A65">
        <v>64</v>
      </c>
      <c r="B65" s="9" t="str">
        <f>TEXT(Sales__tbl[[#This Row],[date]],"MM")</f>
        <v>04</v>
      </c>
      <c r="C65" s="13">
        <v>45032</v>
      </c>
      <c r="D65" t="str">
        <f>_xlfn.XLOOKUP(Sales__tbl[[#This Row],[customer_id]],customer_tbl[customer_id],customer_tbl[Branch_id],"Not found")</f>
        <v>S02</v>
      </c>
      <c r="E65" t="s">
        <v>1093</v>
      </c>
      <c r="F65" t="s">
        <v>967</v>
      </c>
      <c r="G65" t="s">
        <v>872</v>
      </c>
      <c r="H65">
        <v>1</v>
      </c>
      <c r="I65">
        <v>91.73</v>
      </c>
      <c r="J65">
        <v>0</v>
      </c>
      <c r="K65" s="3">
        <v>0</v>
      </c>
      <c r="L65">
        <v>91.73</v>
      </c>
      <c r="M65">
        <v>15.290000000000006</v>
      </c>
      <c r="N65" t="str">
        <f>"P. "&amp;(Sales__tbl[[#This Row],[product_id]]&amp;"."&amp;TEXT(Sales__tbl[[#This Row],[selling_price]],"0.00"))</f>
        <v>P. P.id12.91.73</v>
      </c>
    </row>
    <row r="66" spans="1:14" x14ac:dyDescent="0.25">
      <c r="A66">
        <v>65</v>
      </c>
      <c r="B66" s="9" t="str">
        <f>TEXT(Sales__tbl[[#This Row],[date]],"MM")</f>
        <v>04</v>
      </c>
      <c r="C66" s="13">
        <v>45033</v>
      </c>
      <c r="D66" t="str">
        <f>_xlfn.XLOOKUP(Sales__tbl[[#This Row],[customer_id]],customer_tbl[customer_id],customer_tbl[Branch_id],"Not found")</f>
        <v>E01</v>
      </c>
      <c r="E66" t="s">
        <v>1094</v>
      </c>
      <c r="F66" t="s">
        <v>957</v>
      </c>
      <c r="G66" t="s">
        <v>833</v>
      </c>
      <c r="H66">
        <v>4</v>
      </c>
      <c r="I66">
        <v>55.26</v>
      </c>
      <c r="J66">
        <v>0.1</v>
      </c>
      <c r="K66" s="3">
        <v>22.103999999999985</v>
      </c>
      <c r="L66">
        <v>198.93600000000001</v>
      </c>
      <c r="M66">
        <v>57.256</v>
      </c>
      <c r="N66" t="str">
        <f>"P. "&amp;(Sales__tbl[[#This Row],[product_id]]&amp;"."&amp;TEXT(Sales__tbl[[#This Row],[selling_price]],"0.00"))</f>
        <v>P. P.id02.55.26</v>
      </c>
    </row>
    <row r="67" spans="1:14" x14ac:dyDescent="0.25">
      <c r="A67">
        <v>66</v>
      </c>
      <c r="B67" s="9" t="str">
        <f>TEXT(Sales__tbl[[#This Row],[date]],"MM")</f>
        <v>04</v>
      </c>
      <c r="C67" s="13">
        <v>45034</v>
      </c>
      <c r="D67" t="str">
        <f>_xlfn.XLOOKUP(Sales__tbl[[#This Row],[customer_id]],customer_tbl[customer_id],customer_tbl[Branch_id],"Not found")</f>
        <v>N01</v>
      </c>
      <c r="E67" t="s">
        <v>1070</v>
      </c>
      <c r="F67" t="s">
        <v>967</v>
      </c>
      <c r="G67" t="s">
        <v>872</v>
      </c>
      <c r="H67">
        <v>1</v>
      </c>
      <c r="I67">
        <v>91.73</v>
      </c>
      <c r="J67">
        <v>0</v>
      </c>
      <c r="K67" s="3">
        <v>0</v>
      </c>
      <c r="L67">
        <v>91.73</v>
      </c>
      <c r="M67">
        <v>15.290000000000006</v>
      </c>
      <c r="N67" t="str">
        <f>"P. "&amp;(Sales__tbl[[#This Row],[product_id]]&amp;"."&amp;TEXT(Sales__tbl[[#This Row],[selling_price]],"0.00"))</f>
        <v>P. P.id12.91.73</v>
      </c>
    </row>
    <row r="68" spans="1:14" x14ac:dyDescent="0.25">
      <c r="A68">
        <v>67</v>
      </c>
      <c r="B68" s="9" t="str">
        <f>TEXT(Sales__tbl[[#This Row],[date]],"MM")</f>
        <v>04</v>
      </c>
      <c r="C68" s="13">
        <v>45035</v>
      </c>
      <c r="D68" t="str">
        <f>_xlfn.XLOOKUP(Sales__tbl[[#This Row],[customer_id]],customer_tbl[customer_id],customer_tbl[Branch_id],"Not found")</f>
        <v>W01</v>
      </c>
      <c r="E68" t="s">
        <v>1008</v>
      </c>
      <c r="F68" t="s">
        <v>967</v>
      </c>
      <c r="G68" t="s">
        <v>872</v>
      </c>
      <c r="H68">
        <v>1</v>
      </c>
      <c r="I68">
        <v>91.73</v>
      </c>
      <c r="J68">
        <v>0</v>
      </c>
      <c r="K68" s="3">
        <v>0</v>
      </c>
      <c r="L68">
        <v>91.73</v>
      </c>
      <c r="M68">
        <v>15.290000000000006</v>
      </c>
      <c r="N68" t="str">
        <f>"P. "&amp;(Sales__tbl[[#This Row],[product_id]]&amp;"."&amp;TEXT(Sales__tbl[[#This Row],[selling_price]],"0.00"))</f>
        <v>P. P.id12.91.73</v>
      </c>
    </row>
    <row r="69" spans="1:14" x14ac:dyDescent="0.25">
      <c r="A69">
        <v>68</v>
      </c>
      <c r="B69" s="9" t="str">
        <f>TEXT(Sales__tbl[[#This Row],[date]],"MM")</f>
        <v>04</v>
      </c>
      <c r="C69" s="13">
        <v>45036</v>
      </c>
      <c r="D69" t="str">
        <f>_xlfn.XLOOKUP(Sales__tbl[[#This Row],[customer_id]],customer_tbl[customer_id],customer_tbl[Branch_id],"Not found")</f>
        <v>C02</v>
      </c>
      <c r="E69" t="s">
        <v>1036</v>
      </c>
      <c r="F69" t="s">
        <v>959</v>
      </c>
      <c r="G69" t="s">
        <v>837</v>
      </c>
      <c r="H69">
        <v>1</v>
      </c>
      <c r="I69">
        <v>11.53</v>
      </c>
      <c r="J69">
        <v>0</v>
      </c>
      <c r="K69" s="3">
        <v>0</v>
      </c>
      <c r="L69">
        <v>11.53</v>
      </c>
      <c r="M69">
        <v>2.5199999999999996</v>
      </c>
      <c r="N69" t="str">
        <f>"P. "&amp;(Sales__tbl[[#This Row],[product_id]]&amp;"."&amp;TEXT(Sales__tbl[[#This Row],[selling_price]],"0.00"))</f>
        <v>P. P.id04.11.53</v>
      </c>
    </row>
    <row r="70" spans="1:14" x14ac:dyDescent="0.25">
      <c r="A70">
        <v>69</v>
      </c>
      <c r="B70" s="9" t="str">
        <f>TEXT(Sales__tbl[[#This Row],[date]],"MM")</f>
        <v>04</v>
      </c>
      <c r="C70" s="13">
        <v>45037</v>
      </c>
      <c r="D70" t="str">
        <f>_xlfn.XLOOKUP(Sales__tbl[[#This Row],[customer_id]],customer_tbl[customer_id],customer_tbl[Branch_id],"Not found")</f>
        <v>W01</v>
      </c>
      <c r="E70" t="s">
        <v>1007</v>
      </c>
      <c r="F70" t="s">
        <v>966</v>
      </c>
      <c r="G70" t="s">
        <v>851</v>
      </c>
      <c r="H70">
        <v>1</v>
      </c>
      <c r="I70">
        <v>196.75</v>
      </c>
      <c r="J70">
        <v>0.1</v>
      </c>
      <c r="K70" s="3">
        <v>19.674999999999983</v>
      </c>
      <c r="L70">
        <v>177.07500000000002</v>
      </c>
      <c r="M70">
        <v>20.925000000000011</v>
      </c>
      <c r="N70" t="str">
        <f>"P. "&amp;(Sales__tbl[[#This Row],[product_id]]&amp;"."&amp;TEXT(Sales__tbl[[#This Row],[selling_price]],"0.00"))</f>
        <v>P. P.id11.196.75</v>
      </c>
    </row>
    <row r="71" spans="1:14" x14ac:dyDescent="0.25">
      <c r="A71">
        <v>70</v>
      </c>
      <c r="B71" s="9" t="str">
        <f>TEXT(Sales__tbl[[#This Row],[date]],"MM")</f>
        <v>04</v>
      </c>
      <c r="C71" s="13">
        <v>45038</v>
      </c>
      <c r="D71" t="str">
        <f>_xlfn.XLOOKUP(Sales__tbl[[#This Row],[customer_id]],customer_tbl[customer_id],customer_tbl[Branch_id],"Not found")</f>
        <v>E01</v>
      </c>
      <c r="E71" t="s">
        <v>1014</v>
      </c>
      <c r="F71" t="s">
        <v>966</v>
      </c>
      <c r="G71" t="s">
        <v>851</v>
      </c>
      <c r="H71">
        <v>2</v>
      </c>
      <c r="I71">
        <v>196.75</v>
      </c>
      <c r="J71">
        <v>0.15</v>
      </c>
      <c r="K71" s="3">
        <v>59.025000000000034</v>
      </c>
      <c r="L71">
        <v>334.47499999999997</v>
      </c>
      <c r="M71">
        <v>22.174999999999955</v>
      </c>
      <c r="N71" t="str">
        <f>"P. "&amp;(Sales__tbl[[#This Row],[product_id]]&amp;"."&amp;TEXT(Sales__tbl[[#This Row],[selling_price]],"0.00"))</f>
        <v>P. P.id11.196.75</v>
      </c>
    </row>
    <row r="72" spans="1:14" x14ac:dyDescent="0.25">
      <c r="A72">
        <v>71</v>
      </c>
      <c r="B72" s="9" t="str">
        <f>TEXT(Sales__tbl[[#This Row],[date]],"MM")</f>
        <v>04</v>
      </c>
      <c r="C72" s="13">
        <v>45039</v>
      </c>
      <c r="D72" t="str">
        <f>_xlfn.XLOOKUP(Sales__tbl[[#This Row],[customer_id]],customer_tbl[customer_id],customer_tbl[Branch_id],"Not found")</f>
        <v>S01</v>
      </c>
      <c r="E72" t="s">
        <v>1095</v>
      </c>
      <c r="F72" t="s">
        <v>960</v>
      </c>
      <c r="G72" t="s">
        <v>839</v>
      </c>
      <c r="H72">
        <v>1</v>
      </c>
      <c r="I72">
        <v>165.45</v>
      </c>
      <c r="J72">
        <v>0.1</v>
      </c>
      <c r="K72" s="3">
        <v>16.544999999999987</v>
      </c>
      <c r="L72">
        <v>148.905</v>
      </c>
      <c r="M72">
        <v>25.435000000000002</v>
      </c>
      <c r="N72" t="str">
        <f>"P. "&amp;(Sales__tbl[[#This Row],[product_id]]&amp;"."&amp;TEXT(Sales__tbl[[#This Row],[selling_price]],"0.00"))</f>
        <v>P. P.id05.165.45</v>
      </c>
    </row>
    <row r="73" spans="1:14" x14ac:dyDescent="0.25">
      <c r="A73">
        <v>72</v>
      </c>
      <c r="B73" s="9" t="str">
        <f>TEXT(Sales__tbl[[#This Row],[date]],"MM")</f>
        <v>04</v>
      </c>
      <c r="C73" s="13">
        <v>45040</v>
      </c>
      <c r="D73" t="str">
        <f>_xlfn.XLOOKUP(Sales__tbl[[#This Row],[customer_id]],customer_tbl[customer_id],customer_tbl[Branch_id],"Not found")</f>
        <v>S02</v>
      </c>
      <c r="E73" t="s">
        <v>1096</v>
      </c>
      <c r="F73" t="s">
        <v>962</v>
      </c>
      <c r="G73" t="s">
        <v>941</v>
      </c>
      <c r="H73">
        <v>1</v>
      </c>
      <c r="I73">
        <v>259.11</v>
      </c>
      <c r="J73">
        <v>0.1</v>
      </c>
      <c r="K73" s="3">
        <v>25.911000000000001</v>
      </c>
      <c r="L73">
        <v>233.19900000000001</v>
      </c>
      <c r="M73">
        <v>59.299000000000007</v>
      </c>
      <c r="N73" t="str">
        <f>"P. "&amp;(Sales__tbl[[#This Row],[product_id]]&amp;"."&amp;TEXT(Sales__tbl[[#This Row],[selling_price]],"0.00"))</f>
        <v>P. P.id07.259.11</v>
      </c>
    </row>
    <row r="74" spans="1:14" x14ac:dyDescent="0.25">
      <c r="A74">
        <v>73</v>
      </c>
      <c r="B74" s="9" t="str">
        <f>TEXT(Sales__tbl[[#This Row],[date]],"MM")</f>
        <v>04</v>
      </c>
      <c r="C74" s="13">
        <v>45041</v>
      </c>
      <c r="D74" t="str">
        <f>_xlfn.XLOOKUP(Sales__tbl[[#This Row],[customer_id]],customer_tbl[customer_id],customer_tbl[Branch_id],"Not found")</f>
        <v>C01</v>
      </c>
      <c r="E74" t="s">
        <v>1097</v>
      </c>
      <c r="F74" t="s">
        <v>962</v>
      </c>
      <c r="G74" t="s">
        <v>941</v>
      </c>
      <c r="H74">
        <v>2</v>
      </c>
      <c r="I74">
        <v>259.11</v>
      </c>
      <c r="J74">
        <v>0.2</v>
      </c>
      <c r="K74" s="3">
        <v>103.64400000000001</v>
      </c>
      <c r="L74">
        <v>414.57600000000002</v>
      </c>
      <c r="M74">
        <v>66.77600000000001</v>
      </c>
      <c r="N74" t="str">
        <f>"P. "&amp;(Sales__tbl[[#This Row],[product_id]]&amp;"."&amp;TEXT(Sales__tbl[[#This Row],[selling_price]],"0.00"))</f>
        <v>P. P.id07.259.11</v>
      </c>
    </row>
    <row r="75" spans="1:14" x14ac:dyDescent="0.25">
      <c r="A75">
        <v>74</v>
      </c>
      <c r="B75" s="9" t="str">
        <f>TEXT(Sales__tbl[[#This Row],[date]],"MM")</f>
        <v>04</v>
      </c>
      <c r="C75" s="13">
        <v>45042</v>
      </c>
      <c r="D75" t="str">
        <f>_xlfn.XLOOKUP(Sales__tbl[[#This Row],[customer_id]],customer_tbl[customer_id],customer_tbl[Branch_id],"Not found")</f>
        <v>N02</v>
      </c>
      <c r="E75" t="s">
        <v>1098</v>
      </c>
      <c r="F75" t="s">
        <v>961</v>
      </c>
      <c r="G75" t="s">
        <v>940</v>
      </c>
      <c r="H75">
        <v>1</v>
      </c>
      <c r="I75">
        <v>66.790000000000006</v>
      </c>
      <c r="J75">
        <v>0</v>
      </c>
      <c r="K75" s="3">
        <v>0</v>
      </c>
      <c r="L75">
        <v>66.790000000000006</v>
      </c>
      <c r="M75">
        <v>22.850000000000009</v>
      </c>
      <c r="N75" t="str">
        <f>"P. "&amp;(Sales__tbl[[#This Row],[product_id]]&amp;"."&amp;TEXT(Sales__tbl[[#This Row],[selling_price]],"0.00"))</f>
        <v>P. P.id06.66.79</v>
      </c>
    </row>
    <row r="76" spans="1:14" x14ac:dyDescent="0.25">
      <c r="A76">
        <v>75</v>
      </c>
      <c r="B76" s="9" t="str">
        <f>TEXT(Sales__tbl[[#This Row],[date]],"MM")</f>
        <v>04</v>
      </c>
      <c r="C76" s="13">
        <v>45043</v>
      </c>
      <c r="D76" t="str">
        <f>_xlfn.XLOOKUP(Sales__tbl[[#This Row],[customer_id]],customer_tbl[customer_id],customer_tbl[Branch_id],"Not found")</f>
        <v>E01</v>
      </c>
      <c r="E76" t="s">
        <v>1014</v>
      </c>
      <c r="F76" t="s">
        <v>966</v>
      </c>
      <c r="G76" t="s">
        <v>851</v>
      </c>
      <c r="H76">
        <v>1</v>
      </c>
      <c r="I76">
        <v>196.75</v>
      </c>
      <c r="J76">
        <v>0.1</v>
      </c>
      <c r="K76" s="3">
        <v>19.674999999999983</v>
      </c>
      <c r="L76">
        <v>177.07500000000002</v>
      </c>
      <c r="M76">
        <v>20.925000000000011</v>
      </c>
      <c r="N76" t="str">
        <f>"P. "&amp;(Sales__tbl[[#This Row],[product_id]]&amp;"."&amp;TEXT(Sales__tbl[[#This Row],[selling_price]],"0.00"))</f>
        <v>P. P.id11.196.75</v>
      </c>
    </row>
    <row r="77" spans="1:14" x14ac:dyDescent="0.25">
      <c r="A77">
        <v>76</v>
      </c>
      <c r="B77" s="9" t="str">
        <f>TEXT(Sales__tbl[[#This Row],[date]],"MM")</f>
        <v>04</v>
      </c>
      <c r="C77" s="13">
        <v>45044</v>
      </c>
      <c r="D77" t="str">
        <f>_xlfn.XLOOKUP(Sales__tbl[[#This Row],[customer_id]],customer_tbl[customer_id],customer_tbl[Branch_id],"Not found")</f>
        <v>S02</v>
      </c>
      <c r="E77" t="s">
        <v>1019</v>
      </c>
      <c r="F77" t="s">
        <v>957</v>
      </c>
      <c r="G77" t="s">
        <v>833</v>
      </c>
      <c r="H77">
        <v>1</v>
      </c>
      <c r="I77">
        <v>55.26</v>
      </c>
      <c r="J77">
        <v>0</v>
      </c>
      <c r="K77" s="3">
        <v>0</v>
      </c>
      <c r="L77">
        <v>55.26</v>
      </c>
      <c r="M77">
        <v>19.839999999999996</v>
      </c>
      <c r="N77" t="str">
        <f>"P. "&amp;(Sales__tbl[[#This Row],[product_id]]&amp;"."&amp;TEXT(Sales__tbl[[#This Row],[selling_price]],"0.00"))</f>
        <v>P. P.id02.55.26</v>
      </c>
    </row>
    <row r="78" spans="1:14" x14ac:dyDescent="0.25">
      <c r="A78">
        <v>77</v>
      </c>
      <c r="B78" s="9" t="str">
        <f>TEXT(Sales__tbl[[#This Row],[date]],"MM")</f>
        <v>04</v>
      </c>
      <c r="C78" s="13">
        <v>45045</v>
      </c>
      <c r="D78" t="str">
        <f>_xlfn.XLOOKUP(Sales__tbl[[#This Row],[customer_id]],customer_tbl[customer_id],customer_tbl[Branch_id],"Not found")</f>
        <v>W02</v>
      </c>
      <c r="E78" t="s">
        <v>1099</v>
      </c>
      <c r="F78" t="s">
        <v>962</v>
      </c>
      <c r="G78" t="s">
        <v>941</v>
      </c>
      <c r="H78">
        <v>1</v>
      </c>
      <c r="I78">
        <v>259.11</v>
      </c>
      <c r="J78">
        <v>0.1</v>
      </c>
      <c r="K78" s="3">
        <v>25.911000000000001</v>
      </c>
      <c r="L78">
        <v>233.19900000000001</v>
      </c>
      <c r="M78">
        <v>59.299000000000007</v>
      </c>
      <c r="N78" t="str">
        <f>"P. "&amp;(Sales__tbl[[#This Row],[product_id]]&amp;"."&amp;TEXT(Sales__tbl[[#This Row],[selling_price]],"0.00"))</f>
        <v>P. P.id07.259.11</v>
      </c>
    </row>
    <row r="79" spans="1:14" x14ac:dyDescent="0.25">
      <c r="A79">
        <v>78</v>
      </c>
      <c r="B79" s="9" t="str">
        <f>TEXT(Sales__tbl[[#This Row],[date]],"MM")</f>
        <v>04</v>
      </c>
      <c r="C79" s="13">
        <v>45046</v>
      </c>
      <c r="D79" t="str">
        <f>_xlfn.XLOOKUP(Sales__tbl[[#This Row],[customer_id]],customer_tbl[customer_id],customer_tbl[Branch_id],"Not found")</f>
        <v>S02</v>
      </c>
      <c r="E79" t="s">
        <v>1057</v>
      </c>
      <c r="F79" t="s">
        <v>959</v>
      </c>
      <c r="G79" t="s">
        <v>837</v>
      </c>
      <c r="H79">
        <v>1</v>
      </c>
      <c r="I79">
        <v>11.53</v>
      </c>
      <c r="J79">
        <v>0</v>
      </c>
      <c r="K79" s="3">
        <v>0</v>
      </c>
      <c r="L79">
        <v>11.53</v>
      </c>
      <c r="M79">
        <v>2.5199999999999996</v>
      </c>
      <c r="N79" t="str">
        <f>"P. "&amp;(Sales__tbl[[#This Row],[product_id]]&amp;"."&amp;TEXT(Sales__tbl[[#This Row],[selling_price]],"0.00"))</f>
        <v>P. P.id04.11.53</v>
      </c>
    </row>
    <row r="80" spans="1:14" x14ac:dyDescent="0.25">
      <c r="A80">
        <v>79</v>
      </c>
      <c r="B80" s="9" t="str">
        <f>TEXT(Sales__tbl[[#This Row],[date]],"MM")</f>
        <v>05</v>
      </c>
      <c r="C80" s="13">
        <v>45047</v>
      </c>
      <c r="D80" t="str">
        <f>_xlfn.XLOOKUP(Sales__tbl[[#This Row],[customer_id]],customer_tbl[customer_id],customer_tbl[Branch_id],"Not found")</f>
        <v>E02</v>
      </c>
      <c r="E80" t="s">
        <v>1100</v>
      </c>
      <c r="F80" t="s">
        <v>966</v>
      </c>
      <c r="G80" t="s">
        <v>851</v>
      </c>
      <c r="H80">
        <v>2</v>
      </c>
      <c r="I80">
        <v>196.75</v>
      </c>
      <c r="J80">
        <v>0.15</v>
      </c>
      <c r="K80" s="3">
        <v>59.025000000000034</v>
      </c>
      <c r="L80">
        <v>334.47499999999997</v>
      </c>
      <c r="M80">
        <v>22.174999999999955</v>
      </c>
      <c r="N80" t="str">
        <f>"P. "&amp;(Sales__tbl[[#This Row],[product_id]]&amp;"."&amp;TEXT(Sales__tbl[[#This Row],[selling_price]],"0.00"))</f>
        <v>P. P.id11.196.75</v>
      </c>
    </row>
    <row r="81" spans="1:14" x14ac:dyDescent="0.25">
      <c r="A81">
        <v>80</v>
      </c>
      <c r="B81" s="9" t="str">
        <f>TEXT(Sales__tbl[[#This Row],[date]],"MM")</f>
        <v>05</v>
      </c>
      <c r="C81" s="13">
        <v>45048</v>
      </c>
      <c r="D81" t="str">
        <f>_xlfn.XLOOKUP(Sales__tbl[[#This Row],[customer_id]],customer_tbl[customer_id],customer_tbl[Branch_id],"Not found")</f>
        <v>W02</v>
      </c>
      <c r="E81" t="s">
        <v>1101</v>
      </c>
      <c r="F81" t="s">
        <v>965</v>
      </c>
      <c r="G81" t="s">
        <v>847</v>
      </c>
      <c r="H81">
        <v>2</v>
      </c>
      <c r="I81">
        <v>168</v>
      </c>
      <c r="J81">
        <v>0.15</v>
      </c>
      <c r="K81" s="3">
        <v>50.400000000000034</v>
      </c>
      <c r="L81">
        <v>285.59999999999997</v>
      </c>
      <c r="M81">
        <v>42.119999999999976</v>
      </c>
      <c r="N81" t="str">
        <f>"P. "&amp;(Sales__tbl[[#This Row],[product_id]]&amp;"."&amp;TEXT(Sales__tbl[[#This Row],[selling_price]],"0.00"))</f>
        <v>P. P.id10.168.00</v>
      </c>
    </row>
    <row r="82" spans="1:14" x14ac:dyDescent="0.25">
      <c r="A82">
        <v>81</v>
      </c>
      <c r="B82" s="9" t="str">
        <f>TEXT(Sales__tbl[[#This Row],[date]],"MM")</f>
        <v>05</v>
      </c>
      <c r="C82" s="13">
        <v>45049</v>
      </c>
      <c r="D82" t="str">
        <f>_xlfn.XLOOKUP(Sales__tbl[[#This Row],[customer_id]],customer_tbl[customer_id],customer_tbl[Branch_id],"Not found")</f>
        <v>N01</v>
      </c>
      <c r="E82" t="s">
        <v>1102</v>
      </c>
      <c r="F82" t="s">
        <v>957</v>
      </c>
      <c r="G82" t="s">
        <v>833</v>
      </c>
      <c r="H82">
        <v>1</v>
      </c>
      <c r="I82">
        <v>55.26</v>
      </c>
      <c r="J82">
        <v>0</v>
      </c>
      <c r="K82" s="3">
        <v>0</v>
      </c>
      <c r="L82">
        <v>55.26</v>
      </c>
      <c r="M82">
        <v>19.839999999999996</v>
      </c>
      <c r="N82" t="str">
        <f>"P. "&amp;(Sales__tbl[[#This Row],[product_id]]&amp;"."&amp;TEXT(Sales__tbl[[#This Row],[selling_price]],"0.00"))</f>
        <v>P. P.id02.55.26</v>
      </c>
    </row>
    <row r="83" spans="1:14" x14ac:dyDescent="0.25">
      <c r="A83">
        <v>82</v>
      </c>
      <c r="B83" s="9" t="str">
        <f>TEXT(Sales__tbl[[#This Row],[date]],"MM")</f>
        <v>05</v>
      </c>
      <c r="C83" s="13">
        <v>45050</v>
      </c>
      <c r="D83" t="str">
        <f>_xlfn.XLOOKUP(Sales__tbl[[#This Row],[customer_id]],customer_tbl[customer_id],customer_tbl[Branch_id],"Not found")</f>
        <v>C01</v>
      </c>
      <c r="E83" t="s">
        <v>1103</v>
      </c>
      <c r="F83" t="s">
        <v>963</v>
      </c>
      <c r="G83" t="s">
        <v>942</v>
      </c>
      <c r="H83">
        <v>1</v>
      </c>
      <c r="I83">
        <v>274.16000000000003</v>
      </c>
      <c r="J83">
        <v>0.1</v>
      </c>
      <c r="K83" s="3">
        <v>27.415999999999997</v>
      </c>
      <c r="L83">
        <v>246.74400000000003</v>
      </c>
      <c r="M83">
        <v>56.354000000000042</v>
      </c>
      <c r="N83" t="str">
        <f>"P. "&amp;(Sales__tbl[[#This Row],[product_id]]&amp;"."&amp;TEXT(Sales__tbl[[#This Row],[selling_price]],"0.00"))</f>
        <v>P. P.id08.274.16</v>
      </c>
    </row>
    <row r="84" spans="1:14" x14ac:dyDescent="0.25">
      <c r="A84">
        <v>83</v>
      </c>
      <c r="B84" s="9" t="str">
        <f>TEXT(Sales__tbl[[#This Row],[date]],"MM")</f>
        <v>05</v>
      </c>
      <c r="C84" s="13">
        <v>45051</v>
      </c>
      <c r="D84" t="str">
        <f>_xlfn.XLOOKUP(Sales__tbl[[#This Row],[customer_id]],customer_tbl[customer_id],customer_tbl[Branch_id],"Not found")</f>
        <v>E02</v>
      </c>
      <c r="E84" t="s">
        <v>1104</v>
      </c>
      <c r="F84" t="s">
        <v>959</v>
      </c>
      <c r="G84" t="s">
        <v>837</v>
      </c>
      <c r="H84">
        <v>1</v>
      </c>
      <c r="I84">
        <v>11.53</v>
      </c>
      <c r="J84">
        <v>0</v>
      </c>
      <c r="K84" s="3">
        <v>0</v>
      </c>
      <c r="L84">
        <v>11.53</v>
      </c>
      <c r="M84">
        <v>2.5199999999999996</v>
      </c>
      <c r="N84" t="str">
        <f>"P. "&amp;(Sales__tbl[[#This Row],[product_id]]&amp;"."&amp;TEXT(Sales__tbl[[#This Row],[selling_price]],"0.00"))</f>
        <v>P. P.id04.11.53</v>
      </c>
    </row>
    <row r="85" spans="1:14" x14ac:dyDescent="0.25">
      <c r="A85">
        <v>84</v>
      </c>
      <c r="B85" s="9" t="str">
        <f>TEXT(Sales__tbl[[#This Row],[date]],"MM")</f>
        <v>05</v>
      </c>
      <c r="C85" s="13">
        <v>45052</v>
      </c>
      <c r="D85" t="str">
        <f>_xlfn.XLOOKUP(Sales__tbl[[#This Row],[customer_id]],customer_tbl[customer_id],customer_tbl[Branch_id],"Not found")</f>
        <v>E01</v>
      </c>
      <c r="E85" t="s">
        <v>987</v>
      </c>
      <c r="F85" t="s">
        <v>966</v>
      </c>
      <c r="G85" t="s">
        <v>851</v>
      </c>
      <c r="H85">
        <v>1</v>
      </c>
      <c r="I85">
        <v>196.75</v>
      </c>
      <c r="J85">
        <v>0.1</v>
      </c>
      <c r="K85" s="3">
        <v>19.674999999999983</v>
      </c>
      <c r="L85">
        <v>177.07500000000002</v>
      </c>
      <c r="M85">
        <v>20.925000000000011</v>
      </c>
      <c r="N85" t="str">
        <f>"P. "&amp;(Sales__tbl[[#This Row],[product_id]]&amp;"."&amp;TEXT(Sales__tbl[[#This Row],[selling_price]],"0.00"))</f>
        <v>P. P.id11.196.75</v>
      </c>
    </row>
    <row r="86" spans="1:14" x14ac:dyDescent="0.25">
      <c r="A86">
        <v>85</v>
      </c>
      <c r="B86" s="9" t="str">
        <f>TEXT(Sales__tbl[[#This Row],[date]],"MM")</f>
        <v>05</v>
      </c>
      <c r="C86" s="13">
        <v>45053</v>
      </c>
      <c r="D86" t="str">
        <f>_xlfn.XLOOKUP(Sales__tbl[[#This Row],[customer_id]],customer_tbl[customer_id],customer_tbl[Branch_id],"Not found")</f>
        <v>E02</v>
      </c>
      <c r="E86" t="s">
        <v>1105</v>
      </c>
      <c r="F86" t="s">
        <v>966</v>
      </c>
      <c r="G86" t="s">
        <v>851</v>
      </c>
      <c r="H86">
        <v>2</v>
      </c>
      <c r="I86">
        <v>196.75</v>
      </c>
      <c r="J86">
        <v>0.15</v>
      </c>
      <c r="K86" s="3">
        <v>59.025000000000034</v>
      </c>
      <c r="L86">
        <v>334.47499999999997</v>
      </c>
      <c r="M86">
        <v>22.174999999999955</v>
      </c>
      <c r="N86" t="str">
        <f>"P. "&amp;(Sales__tbl[[#This Row],[product_id]]&amp;"."&amp;TEXT(Sales__tbl[[#This Row],[selling_price]],"0.00"))</f>
        <v>P. P.id11.196.75</v>
      </c>
    </row>
    <row r="87" spans="1:14" x14ac:dyDescent="0.25">
      <c r="A87">
        <v>86</v>
      </c>
      <c r="B87" s="9" t="str">
        <f>TEXT(Sales__tbl[[#This Row],[date]],"MM")</f>
        <v>05</v>
      </c>
      <c r="C87" s="13">
        <v>45054</v>
      </c>
      <c r="D87" t="str">
        <f>_xlfn.XLOOKUP(Sales__tbl[[#This Row],[customer_id]],customer_tbl[customer_id],customer_tbl[Branch_id],"Not found")</f>
        <v>S01</v>
      </c>
      <c r="E87" t="s">
        <v>993</v>
      </c>
      <c r="F87" t="s">
        <v>961</v>
      </c>
      <c r="G87" t="s">
        <v>940</v>
      </c>
      <c r="H87">
        <v>1</v>
      </c>
      <c r="I87">
        <v>66.790000000000006</v>
      </c>
      <c r="J87">
        <v>0</v>
      </c>
      <c r="K87" s="3">
        <v>0</v>
      </c>
      <c r="L87">
        <v>66.790000000000006</v>
      </c>
      <c r="M87">
        <v>22.850000000000009</v>
      </c>
      <c r="N87" t="str">
        <f>"P. "&amp;(Sales__tbl[[#This Row],[product_id]]&amp;"."&amp;TEXT(Sales__tbl[[#This Row],[selling_price]],"0.00"))</f>
        <v>P. P.id06.66.79</v>
      </c>
    </row>
    <row r="88" spans="1:14" x14ac:dyDescent="0.25">
      <c r="A88">
        <v>87</v>
      </c>
      <c r="B88" s="9" t="str">
        <f>TEXT(Sales__tbl[[#This Row],[date]],"MM")</f>
        <v>05</v>
      </c>
      <c r="C88" s="13">
        <v>45055</v>
      </c>
      <c r="D88" t="str">
        <f>_xlfn.XLOOKUP(Sales__tbl[[#This Row],[customer_id]],customer_tbl[customer_id],customer_tbl[Branch_id],"Not found")</f>
        <v>C01</v>
      </c>
      <c r="E88" t="s">
        <v>1103</v>
      </c>
      <c r="F88" t="s">
        <v>966</v>
      </c>
      <c r="G88" t="s">
        <v>851</v>
      </c>
      <c r="H88">
        <v>1</v>
      </c>
      <c r="I88">
        <v>196.75</v>
      </c>
      <c r="J88">
        <v>0.1</v>
      </c>
      <c r="K88" s="3">
        <v>19.674999999999983</v>
      </c>
      <c r="L88">
        <v>177.07500000000002</v>
      </c>
      <c r="M88">
        <v>20.925000000000011</v>
      </c>
      <c r="N88" t="str">
        <f>"P. "&amp;(Sales__tbl[[#This Row],[product_id]]&amp;"."&amp;TEXT(Sales__tbl[[#This Row],[selling_price]],"0.00"))</f>
        <v>P. P.id11.196.75</v>
      </c>
    </row>
    <row r="89" spans="1:14" x14ac:dyDescent="0.25">
      <c r="A89">
        <v>88</v>
      </c>
      <c r="B89" s="9" t="str">
        <f>TEXT(Sales__tbl[[#This Row],[date]],"MM")</f>
        <v>05</v>
      </c>
      <c r="C89" s="13">
        <v>45056</v>
      </c>
      <c r="D89" t="str">
        <f>_xlfn.XLOOKUP(Sales__tbl[[#This Row],[customer_id]],customer_tbl[customer_id],customer_tbl[Branch_id],"Not found")</f>
        <v>C02</v>
      </c>
      <c r="E89" t="s">
        <v>1106</v>
      </c>
      <c r="F89" t="s">
        <v>957</v>
      </c>
      <c r="G89" t="s">
        <v>833</v>
      </c>
      <c r="H89">
        <v>1</v>
      </c>
      <c r="I89">
        <v>55.26</v>
      </c>
      <c r="J89">
        <v>0</v>
      </c>
      <c r="K89" s="3">
        <v>0</v>
      </c>
      <c r="L89">
        <v>55.26</v>
      </c>
      <c r="M89">
        <v>19.839999999999996</v>
      </c>
      <c r="N89" t="str">
        <f>"P. "&amp;(Sales__tbl[[#This Row],[product_id]]&amp;"."&amp;TEXT(Sales__tbl[[#This Row],[selling_price]],"0.00"))</f>
        <v>P. P.id02.55.26</v>
      </c>
    </row>
    <row r="90" spans="1:14" x14ac:dyDescent="0.25">
      <c r="A90">
        <v>89</v>
      </c>
      <c r="B90" s="9" t="str">
        <f>TEXT(Sales__tbl[[#This Row],[date]],"MM")</f>
        <v>05</v>
      </c>
      <c r="C90" s="13">
        <v>45057</v>
      </c>
      <c r="D90" t="str">
        <f>_xlfn.XLOOKUP(Sales__tbl[[#This Row],[customer_id]],customer_tbl[customer_id],customer_tbl[Branch_id],"Not found")</f>
        <v>S01</v>
      </c>
      <c r="E90" t="s">
        <v>1107</v>
      </c>
      <c r="F90" t="s">
        <v>958</v>
      </c>
      <c r="G90" t="s">
        <v>939</v>
      </c>
      <c r="H90">
        <v>4</v>
      </c>
      <c r="I90">
        <v>90.53</v>
      </c>
      <c r="J90">
        <v>0.15</v>
      </c>
      <c r="K90" s="3">
        <v>54.317999999999984</v>
      </c>
      <c r="L90">
        <v>307.80200000000002</v>
      </c>
      <c r="M90">
        <v>-4.3580000000000041</v>
      </c>
      <c r="N90" t="str">
        <f>"P. "&amp;(Sales__tbl[[#This Row],[product_id]]&amp;"."&amp;TEXT(Sales__tbl[[#This Row],[selling_price]],"0.00"))</f>
        <v>P. P.id03.90.53</v>
      </c>
    </row>
    <row r="91" spans="1:14" x14ac:dyDescent="0.25">
      <c r="A91">
        <v>90</v>
      </c>
      <c r="B91" s="9" t="str">
        <f>TEXT(Sales__tbl[[#This Row],[date]],"MM")</f>
        <v>05</v>
      </c>
      <c r="C91" s="13">
        <v>45058</v>
      </c>
      <c r="D91" t="str">
        <f>_xlfn.XLOOKUP(Sales__tbl[[#This Row],[customer_id]],customer_tbl[customer_id],customer_tbl[Branch_id],"Not found")</f>
        <v>E02</v>
      </c>
      <c r="E91" t="s">
        <v>1002</v>
      </c>
      <c r="F91" t="s">
        <v>958</v>
      </c>
      <c r="G91" t="s">
        <v>939</v>
      </c>
      <c r="H91">
        <v>1</v>
      </c>
      <c r="I91">
        <v>90.53</v>
      </c>
      <c r="J91">
        <v>0</v>
      </c>
      <c r="K91" s="3">
        <v>0</v>
      </c>
      <c r="L91">
        <v>90.53</v>
      </c>
      <c r="M91">
        <v>12.489999999999995</v>
      </c>
      <c r="N91" t="str">
        <f>"P. "&amp;(Sales__tbl[[#This Row],[product_id]]&amp;"."&amp;TEXT(Sales__tbl[[#This Row],[selling_price]],"0.00"))</f>
        <v>P. P.id03.90.53</v>
      </c>
    </row>
    <row r="92" spans="1:14" x14ac:dyDescent="0.25">
      <c r="A92">
        <v>91</v>
      </c>
      <c r="B92" s="9" t="str">
        <f>TEXT(Sales__tbl[[#This Row],[date]],"MM")</f>
        <v>05</v>
      </c>
      <c r="C92" s="13">
        <v>45059</v>
      </c>
      <c r="D92" t="str">
        <f>_xlfn.XLOOKUP(Sales__tbl[[#This Row],[customer_id]],customer_tbl[customer_id],customer_tbl[Branch_id],"Not found")</f>
        <v>N01</v>
      </c>
      <c r="E92" t="s">
        <v>1013</v>
      </c>
      <c r="F92" t="s">
        <v>959</v>
      </c>
      <c r="G92" t="s">
        <v>837</v>
      </c>
      <c r="H92">
        <v>1</v>
      </c>
      <c r="I92">
        <v>11.53</v>
      </c>
      <c r="J92">
        <v>0</v>
      </c>
      <c r="K92" s="3">
        <v>0</v>
      </c>
      <c r="L92">
        <v>11.53</v>
      </c>
      <c r="M92">
        <v>2.5199999999999996</v>
      </c>
      <c r="N92" t="str">
        <f>"P. "&amp;(Sales__tbl[[#This Row],[product_id]]&amp;"."&amp;TEXT(Sales__tbl[[#This Row],[selling_price]],"0.00"))</f>
        <v>P. P.id04.11.53</v>
      </c>
    </row>
    <row r="93" spans="1:14" x14ac:dyDescent="0.25">
      <c r="A93">
        <v>92</v>
      </c>
      <c r="B93" s="9" t="str">
        <f>TEXT(Sales__tbl[[#This Row],[date]],"MM")</f>
        <v>05</v>
      </c>
      <c r="C93" s="13">
        <v>45060</v>
      </c>
      <c r="D93" t="str">
        <f>_xlfn.XLOOKUP(Sales__tbl[[#This Row],[customer_id]],customer_tbl[customer_id],customer_tbl[Branch_id],"Not found")</f>
        <v>N02</v>
      </c>
      <c r="E93" t="s">
        <v>1108</v>
      </c>
      <c r="F93" t="s">
        <v>959</v>
      </c>
      <c r="G93" t="s">
        <v>837</v>
      </c>
      <c r="H93">
        <v>1</v>
      </c>
      <c r="I93">
        <v>11.53</v>
      </c>
      <c r="J93">
        <v>0</v>
      </c>
      <c r="K93" s="3">
        <v>0</v>
      </c>
      <c r="L93">
        <v>11.53</v>
      </c>
      <c r="M93">
        <v>2.5199999999999996</v>
      </c>
      <c r="N93" t="str">
        <f>"P. "&amp;(Sales__tbl[[#This Row],[product_id]]&amp;"."&amp;TEXT(Sales__tbl[[#This Row],[selling_price]],"0.00"))</f>
        <v>P. P.id04.11.53</v>
      </c>
    </row>
    <row r="94" spans="1:14" x14ac:dyDescent="0.25">
      <c r="A94">
        <v>93</v>
      </c>
      <c r="B94" s="9" t="str">
        <f>TEXT(Sales__tbl[[#This Row],[date]],"MM")</f>
        <v>05</v>
      </c>
      <c r="C94" s="13">
        <v>45061</v>
      </c>
      <c r="D94" t="str">
        <f>_xlfn.XLOOKUP(Sales__tbl[[#This Row],[customer_id]],customer_tbl[customer_id],customer_tbl[Branch_id],"Not found")</f>
        <v>C01</v>
      </c>
      <c r="E94" t="s">
        <v>1045</v>
      </c>
      <c r="F94" t="s">
        <v>962</v>
      </c>
      <c r="G94" t="s">
        <v>941</v>
      </c>
      <c r="H94">
        <v>3</v>
      </c>
      <c r="I94">
        <v>259.11</v>
      </c>
      <c r="J94">
        <v>0.2</v>
      </c>
      <c r="K94" s="3">
        <v>155.46600000000001</v>
      </c>
      <c r="L94">
        <v>621.86400000000003</v>
      </c>
      <c r="M94">
        <v>100.16399999999999</v>
      </c>
      <c r="N94" t="str">
        <f>"P. "&amp;(Sales__tbl[[#This Row],[product_id]]&amp;"."&amp;TEXT(Sales__tbl[[#This Row],[selling_price]],"0.00"))</f>
        <v>P. P.id07.259.11</v>
      </c>
    </row>
    <row r="95" spans="1:14" x14ac:dyDescent="0.25">
      <c r="A95">
        <v>94</v>
      </c>
      <c r="B95" s="9" t="str">
        <f>TEXT(Sales__tbl[[#This Row],[date]],"MM")</f>
        <v>05</v>
      </c>
      <c r="C95" s="13">
        <v>45062</v>
      </c>
      <c r="D95" t="str">
        <f>_xlfn.XLOOKUP(Sales__tbl[[#This Row],[customer_id]],customer_tbl[customer_id],customer_tbl[Branch_id],"Not found")</f>
        <v>N01</v>
      </c>
      <c r="E95" t="s">
        <v>1039</v>
      </c>
      <c r="F95" t="s">
        <v>956</v>
      </c>
      <c r="G95" t="s">
        <v>831</v>
      </c>
      <c r="H95">
        <v>2</v>
      </c>
      <c r="I95">
        <v>303.48</v>
      </c>
      <c r="J95">
        <v>0.2</v>
      </c>
      <c r="K95" s="3">
        <v>121.392</v>
      </c>
      <c r="L95">
        <v>485.56800000000004</v>
      </c>
      <c r="M95">
        <v>98.968000000000018</v>
      </c>
      <c r="N95" t="str">
        <f>"P. "&amp;(Sales__tbl[[#This Row],[product_id]]&amp;"."&amp;TEXT(Sales__tbl[[#This Row],[selling_price]],"0.00"))</f>
        <v>P. P.id01.303.48</v>
      </c>
    </row>
    <row r="96" spans="1:14" x14ac:dyDescent="0.25">
      <c r="A96">
        <v>95</v>
      </c>
      <c r="B96" s="9" t="str">
        <f>TEXT(Sales__tbl[[#This Row],[date]],"MM")</f>
        <v>05</v>
      </c>
      <c r="C96" s="13">
        <v>45063</v>
      </c>
      <c r="D96" t="str">
        <f>_xlfn.XLOOKUP(Sales__tbl[[#This Row],[customer_id]],customer_tbl[customer_id],customer_tbl[Branch_id],"Not found")</f>
        <v>E02</v>
      </c>
      <c r="E96" t="s">
        <v>1109</v>
      </c>
      <c r="F96" t="s">
        <v>964</v>
      </c>
      <c r="G96" t="s">
        <v>943</v>
      </c>
      <c r="H96">
        <v>2</v>
      </c>
      <c r="I96">
        <v>190.58</v>
      </c>
      <c r="J96">
        <v>0.15</v>
      </c>
      <c r="K96" s="3">
        <v>57.174000000000035</v>
      </c>
      <c r="L96">
        <v>323.98599999999999</v>
      </c>
      <c r="M96">
        <v>28.505999999999972</v>
      </c>
      <c r="N96" t="str">
        <f>"P. "&amp;(Sales__tbl[[#This Row],[product_id]]&amp;"."&amp;TEXT(Sales__tbl[[#This Row],[selling_price]],"0.00"))</f>
        <v>P. P.id09.190.58</v>
      </c>
    </row>
    <row r="97" spans="1:14" x14ac:dyDescent="0.25">
      <c r="A97">
        <v>96</v>
      </c>
      <c r="B97" s="9" t="str">
        <f>TEXT(Sales__tbl[[#This Row],[date]],"MM")</f>
        <v>05</v>
      </c>
      <c r="C97" s="13">
        <v>45064</v>
      </c>
      <c r="D97" t="str">
        <f>_xlfn.XLOOKUP(Sales__tbl[[#This Row],[customer_id]],customer_tbl[customer_id],customer_tbl[Branch_id],"Not found")</f>
        <v>N01</v>
      </c>
      <c r="E97" t="s">
        <v>1052</v>
      </c>
      <c r="F97" t="s">
        <v>963</v>
      </c>
      <c r="G97" t="s">
        <v>942</v>
      </c>
      <c r="H97">
        <v>1</v>
      </c>
      <c r="I97">
        <v>274.16000000000003</v>
      </c>
      <c r="J97">
        <v>0.1</v>
      </c>
      <c r="K97" s="3">
        <v>27.415999999999997</v>
      </c>
      <c r="L97">
        <v>246.74400000000003</v>
      </c>
      <c r="M97">
        <v>56.354000000000042</v>
      </c>
      <c r="N97" t="str">
        <f>"P. "&amp;(Sales__tbl[[#This Row],[product_id]]&amp;"."&amp;TEXT(Sales__tbl[[#This Row],[selling_price]],"0.00"))</f>
        <v>P. P.id08.274.16</v>
      </c>
    </row>
    <row r="98" spans="1:14" x14ac:dyDescent="0.25">
      <c r="A98">
        <v>97</v>
      </c>
      <c r="B98" s="9" t="str">
        <f>TEXT(Sales__tbl[[#This Row],[date]],"MM")</f>
        <v>05</v>
      </c>
      <c r="C98" s="13">
        <v>45065</v>
      </c>
      <c r="D98" t="str">
        <f>_xlfn.XLOOKUP(Sales__tbl[[#This Row],[customer_id]],customer_tbl[customer_id],customer_tbl[Branch_id],"Not found")</f>
        <v>W01</v>
      </c>
      <c r="E98" t="s">
        <v>1110</v>
      </c>
      <c r="F98" t="s">
        <v>960</v>
      </c>
      <c r="G98" t="s">
        <v>839</v>
      </c>
      <c r="H98">
        <v>2</v>
      </c>
      <c r="I98">
        <v>165.45</v>
      </c>
      <c r="J98">
        <v>0.15</v>
      </c>
      <c r="K98" s="3">
        <v>49.634999999999991</v>
      </c>
      <c r="L98">
        <v>281.26499999999999</v>
      </c>
      <c r="M98">
        <v>34.324999999999989</v>
      </c>
      <c r="N98" t="str">
        <f>"P. "&amp;(Sales__tbl[[#This Row],[product_id]]&amp;"."&amp;TEXT(Sales__tbl[[#This Row],[selling_price]],"0.00"))</f>
        <v>P. P.id05.165.45</v>
      </c>
    </row>
    <row r="99" spans="1:14" x14ac:dyDescent="0.25">
      <c r="A99">
        <v>98</v>
      </c>
      <c r="B99" s="9" t="str">
        <f>TEXT(Sales__tbl[[#This Row],[date]],"MM")</f>
        <v>05</v>
      </c>
      <c r="C99" s="13">
        <v>45066</v>
      </c>
      <c r="D99" t="str">
        <f>_xlfn.XLOOKUP(Sales__tbl[[#This Row],[customer_id]],customer_tbl[customer_id],customer_tbl[Branch_id],"Not found")</f>
        <v>C01</v>
      </c>
      <c r="E99" t="s">
        <v>996</v>
      </c>
      <c r="F99" t="s">
        <v>959</v>
      </c>
      <c r="G99" t="s">
        <v>837</v>
      </c>
      <c r="H99">
        <v>1</v>
      </c>
      <c r="I99">
        <v>11.53</v>
      </c>
      <c r="J99">
        <v>0</v>
      </c>
      <c r="K99" s="3">
        <v>0</v>
      </c>
      <c r="L99">
        <v>11.53</v>
      </c>
      <c r="M99">
        <v>2.5199999999999996</v>
      </c>
      <c r="N99" t="str">
        <f>"P. "&amp;(Sales__tbl[[#This Row],[product_id]]&amp;"."&amp;TEXT(Sales__tbl[[#This Row],[selling_price]],"0.00"))</f>
        <v>P. P.id04.11.53</v>
      </c>
    </row>
    <row r="100" spans="1:14" x14ac:dyDescent="0.25">
      <c r="A100">
        <v>99</v>
      </c>
      <c r="B100" s="9" t="str">
        <f>TEXT(Sales__tbl[[#This Row],[date]],"MM")</f>
        <v>05</v>
      </c>
      <c r="C100" s="13">
        <v>45067</v>
      </c>
      <c r="D100" t="str">
        <f>_xlfn.XLOOKUP(Sales__tbl[[#This Row],[customer_id]],customer_tbl[customer_id],customer_tbl[Branch_id],"Not found")</f>
        <v>S01</v>
      </c>
      <c r="E100" t="s">
        <v>1111</v>
      </c>
      <c r="F100" t="s">
        <v>966</v>
      </c>
      <c r="G100" t="s">
        <v>851</v>
      </c>
      <c r="H100">
        <v>1</v>
      </c>
      <c r="I100">
        <v>196.75</v>
      </c>
      <c r="J100">
        <v>0.1</v>
      </c>
      <c r="K100" s="3">
        <v>19.674999999999983</v>
      </c>
      <c r="L100">
        <v>177.07500000000002</v>
      </c>
      <c r="M100">
        <v>20.925000000000011</v>
      </c>
      <c r="N100" t="str">
        <f>"P. "&amp;(Sales__tbl[[#This Row],[product_id]]&amp;"."&amp;TEXT(Sales__tbl[[#This Row],[selling_price]],"0.00"))</f>
        <v>P. P.id11.196.75</v>
      </c>
    </row>
    <row r="101" spans="1:14" x14ac:dyDescent="0.25">
      <c r="A101">
        <v>100</v>
      </c>
      <c r="B101" s="9" t="str">
        <f>TEXT(Sales__tbl[[#This Row],[date]],"MM")</f>
        <v>05</v>
      </c>
      <c r="C101" s="13">
        <v>45068</v>
      </c>
      <c r="D101" t="str">
        <f>_xlfn.XLOOKUP(Sales__tbl[[#This Row],[customer_id]],customer_tbl[customer_id],customer_tbl[Branch_id],"Not found")</f>
        <v>S02</v>
      </c>
      <c r="E101" t="s">
        <v>1112</v>
      </c>
      <c r="F101" t="s">
        <v>957</v>
      </c>
      <c r="G101" t="s">
        <v>833</v>
      </c>
      <c r="H101">
        <v>2</v>
      </c>
      <c r="I101">
        <v>55.26</v>
      </c>
      <c r="J101">
        <v>0</v>
      </c>
      <c r="K101" s="3">
        <v>0</v>
      </c>
      <c r="L101">
        <v>110.52</v>
      </c>
      <c r="M101">
        <v>39.679999999999993</v>
      </c>
      <c r="N101" t="str">
        <f>"P. "&amp;(Sales__tbl[[#This Row],[product_id]]&amp;"."&amp;TEXT(Sales__tbl[[#This Row],[selling_price]],"0.00"))</f>
        <v>P. P.id02.55.26</v>
      </c>
    </row>
    <row r="102" spans="1:14" x14ac:dyDescent="0.25">
      <c r="A102">
        <v>101</v>
      </c>
      <c r="B102" s="9" t="str">
        <f>TEXT(Sales__tbl[[#This Row],[date]],"MM")</f>
        <v>05</v>
      </c>
      <c r="C102" s="13">
        <v>45069</v>
      </c>
      <c r="D102" t="str">
        <f>_xlfn.XLOOKUP(Sales__tbl[[#This Row],[customer_id]],customer_tbl[customer_id],customer_tbl[Branch_id],"Not found")</f>
        <v>S01</v>
      </c>
      <c r="E102" t="s">
        <v>1001</v>
      </c>
      <c r="F102" t="s">
        <v>958</v>
      </c>
      <c r="G102" t="s">
        <v>939</v>
      </c>
      <c r="H102">
        <v>1</v>
      </c>
      <c r="I102">
        <v>90.53</v>
      </c>
      <c r="J102">
        <v>0</v>
      </c>
      <c r="K102" s="3">
        <v>0</v>
      </c>
      <c r="L102">
        <v>90.53</v>
      </c>
      <c r="M102">
        <v>12.489999999999995</v>
      </c>
      <c r="N102" t="str">
        <f>"P. "&amp;(Sales__tbl[[#This Row],[product_id]]&amp;"."&amp;TEXT(Sales__tbl[[#This Row],[selling_price]],"0.00"))</f>
        <v>P. P.id03.90.53</v>
      </c>
    </row>
    <row r="103" spans="1:14" x14ac:dyDescent="0.25">
      <c r="A103">
        <v>102</v>
      </c>
      <c r="B103" s="9" t="str">
        <f>TEXT(Sales__tbl[[#This Row],[date]],"MM")</f>
        <v>05</v>
      </c>
      <c r="C103" s="13">
        <v>45070</v>
      </c>
      <c r="D103" t="str">
        <f>_xlfn.XLOOKUP(Sales__tbl[[#This Row],[customer_id]],customer_tbl[customer_id],customer_tbl[Branch_id],"Not found")</f>
        <v>N01</v>
      </c>
      <c r="E103" t="s">
        <v>1113</v>
      </c>
      <c r="F103" t="s">
        <v>959</v>
      </c>
      <c r="G103" t="s">
        <v>837</v>
      </c>
      <c r="H103">
        <v>1</v>
      </c>
      <c r="I103">
        <v>11.53</v>
      </c>
      <c r="J103">
        <v>0</v>
      </c>
      <c r="K103" s="3">
        <v>0</v>
      </c>
      <c r="L103">
        <v>11.53</v>
      </c>
      <c r="M103">
        <v>2.5199999999999996</v>
      </c>
      <c r="N103" t="str">
        <f>"P. "&amp;(Sales__tbl[[#This Row],[product_id]]&amp;"."&amp;TEXT(Sales__tbl[[#This Row],[selling_price]],"0.00"))</f>
        <v>P. P.id04.11.53</v>
      </c>
    </row>
    <row r="104" spans="1:14" x14ac:dyDescent="0.25">
      <c r="A104">
        <v>103</v>
      </c>
      <c r="B104" s="9" t="str">
        <f>TEXT(Sales__tbl[[#This Row],[date]],"MM")</f>
        <v>05</v>
      </c>
      <c r="C104" s="13">
        <v>45071</v>
      </c>
      <c r="D104" t="str">
        <f>_xlfn.XLOOKUP(Sales__tbl[[#This Row],[customer_id]],customer_tbl[customer_id],customer_tbl[Branch_id],"Not found")</f>
        <v>N01</v>
      </c>
      <c r="E104" t="s">
        <v>1114</v>
      </c>
      <c r="F104" t="s">
        <v>965</v>
      </c>
      <c r="G104" t="s">
        <v>847</v>
      </c>
      <c r="H104">
        <v>2</v>
      </c>
      <c r="I104">
        <v>168</v>
      </c>
      <c r="J104">
        <v>0.15</v>
      </c>
      <c r="K104" s="3">
        <v>50.400000000000034</v>
      </c>
      <c r="L104">
        <v>285.59999999999997</v>
      </c>
      <c r="M104">
        <v>42.119999999999976</v>
      </c>
      <c r="N104" t="str">
        <f>"P. "&amp;(Sales__tbl[[#This Row],[product_id]]&amp;"."&amp;TEXT(Sales__tbl[[#This Row],[selling_price]],"0.00"))</f>
        <v>P. P.id10.168.00</v>
      </c>
    </row>
    <row r="105" spans="1:14" x14ac:dyDescent="0.25">
      <c r="A105">
        <v>104</v>
      </c>
      <c r="B105" s="9" t="str">
        <f>TEXT(Sales__tbl[[#This Row],[date]],"MM")</f>
        <v>05</v>
      </c>
      <c r="C105" s="13">
        <v>45072</v>
      </c>
      <c r="D105" t="str">
        <f>_xlfn.XLOOKUP(Sales__tbl[[#This Row],[customer_id]],customer_tbl[customer_id],customer_tbl[Branch_id],"Not found")</f>
        <v>C02</v>
      </c>
      <c r="E105" t="s">
        <v>1083</v>
      </c>
      <c r="F105" t="s">
        <v>966</v>
      </c>
      <c r="G105" t="s">
        <v>851</v>
      </c>
      <c r="H105">
        <v>1</v>
      </c>
      <c r="I105">
        <v>196.75</v>
      </c>
      <c r="J105">
        <v>0.1</v>
      </c>
      <c r="K105" s="3">
        <v>19.674999999999983</v>
      </c>
      <c r="L105">
        <v>177.07500000000002</v>
      </c>
      <c r="M105">
        <v>20.925000000000011</v>
      </c>
      <c r="N105" t="str">
        <f>"P. "&amp;(Sales__tbl[[#This Row],[product_id]]&amp;"."&amp;TEXT(Sales__tbl[[#This Row],[selling_price]],"0.00"))</f>
        <v>P. P.id11.196.75</v>
      </c>
    </row>
    <row r="106" spans="1:14" x14ac:dyDescent="0.25">
      <c r="A106">
        <v>105</v>
      </c>
      <c r="B106" s="9" t="str">
        <f>TEXT(Sales__tbl[[#This Row],[date]],"MM")</f>
        <v>05</v>
      </c>
      <c r="C106" s="13">
        <v>45073</v>
      </c>
      <c r="D106" t="str">
        <f>_xlfn.XLOOKUP(Sales__tbl[[#This Row],[customer_id]],customer_tbl[customer_id],customer_tbl[Branch_id],"Not found")</f>
        <v>N01</v>
      </c>
      <c r="E106" t="s">
        <v>1114</v>
      </c>
      <c r="F106" t="s">
        <v>966</v>
      </c>
      <c r="G106" t="s">
        <v>851</v>
      </c>
      <c r="H106">
        <v>2</v>
      </c>
      <c r="I106">
        <v>196.75</v>
      </c>
      <c r="J106">
        <v>0.15</v>
      </c>
      <c r="K106" s="3">
        <v>59.025000000000034</v>
      </c>
      <c r="L106">
        <v>334.47499999999997</v>
      </c>
      <c r="M106">
        <v>22.174999999999955</v>
      </c>
      <c r="N106" t="str">
        <f>"P. "&amp;(Sales__tbl[[#This Row],[product_id]]&amp;"."&amp;TEXT(Sales__tbl[[#This Row],[selling_price]],"0.00"))</f>
        <v>P. P.id11.196.75</v>
      </c>
    </row>
    <row r="107" spans="1:14" x14ac:dyDescent="0.25">
      <c r="A107">
        <v>106</v>
      </c>
      <c r="B107" s="9" t="str">
        <f>TEXT(Sales__tbl[[#This Row],[date]],"MM")</f>
        <v>05</v>
      </c>
      <c r="C107" s="13">
        <v>45074</v>
      </c>
      <c r="D107" t="str">
        <f>_xlfn.XLOOKUP(Sales__tbl[[#This Row],[customer_id]],customer_tbl[customer_id],customer_tbl[Branch_id],"Not found")</f>
        <v>S02</v>
      </c>
      <c r="E107" t="s">
        <v>1115</v>
      </c>
      <c r="F107" t="s">
        <v>960</v>
      </c>
      <c r="G107" t="s">
        <v>839</v>
      </c>
      <c r="H107">
        <v>3</v>
      </c>
      <c r="I107">
        <v>165.45</v>
      </c>
      <c r="J107">
        <v>0.2</v>
      </c>
      <c r="K107" s="3">
        <v>99.269999999999982</v>
      </c>
      <c r="L107">
        <v>397.08</v>
      </c>
      <c r="M107">
        <v>26.670000000000016</v>
      </c>
      <c r="N107" t="str">
        <f>"P. "&amp;(Sales__tbl[[#This Row],[product_id]]&amp;"."&amp;TEXT(Sales__tbl[[#This Row],[selling_price]],"0.00"))</f>
        <v>P. P.id05.165.45</v>
      </c>
    </row>
    <row r="108" spans="1:14" x14ac:dyDescent="0.25">
      <c r="A108">
        <v>107</v>
      </c>
      <c r="B108" s="9" t="str">
        <f>TEXT(Sales__tbl[[#This Row],[date]],"MM")</f>
        <v>05</v>
      </c>
      <c r="C108" s="13">
        <v>45075</v>
      </c>
      <c r="D108" t="str">
        <f>_xlfn.XLOOKUP(Sales__tbl[[#This Row],[customer_id]],customer_tbl[customer_id],customer_tbl[Branch_id],"Not found")</f>
        <v>E01</v>
      </c>
      <c r="E108" t="s">
        <v>1116</v>
      </c>
      <c r="F108" t="s">
        <v>965</v>
      </c>
      <c r="G108" t="s">
        <v>847</v>
      </c>
      <c r="H108">
        <v>1</v>
      </c>
      <c r="I108">
        <v>168</v>
      </c>
      <c r="J108">
        <v>0.1</v>
      </c>
      <c r="K108" s="3">
        <v>16.799999999999983</v>
      </c>
      <c r="L108">
        <v>151.20000000000002</v>
      </c>
      <c r="M108">
        <v>29.460000000000022</v>
      </c>
      <c r="N108" t="str">
        <f>"P. "&amp;(Sales__tbl[[#This Row],[product_id]]&amp;"."&amp;TEXT(Sales__tbl[[#This Row],[selling_price]],"0.00"))</f>
        <v>P. P.id10.168.00</v>
      </c>
    </row>
    <row r="109" spans="1:14" x14ac:dyDescent="0.25">
      <c r="A109">
        <v>108</v>
      </c>
      <c r="B109" s="9" t="str">
        <f>TEXT(Sales__tbl[[#This Row],[date]],"MM")</f>
        <v>05</v>
      </c>
      <c r="C109" s="13">
        <v>45076</v>
      </c>
      <c r="D109" t="str">
        <f>_xlfn.XLOOKUP(Sales__tbl[[#This Row],[customer_id]],customer_tbl[customer_id],customer_tbl[Branch_id],"Not found")</f>
        <v>S02</v>
      </c>
      <c r="E109" t="s">
        <v>1112</v>
      </c>
      <c r="F109" t="s">
        <v>956</v>
      </c>
      <c r="G109" t="s">
        <v>831</v>
      </c>
      <c r="H109">
        <v>2</v>
      </c>
      <c r="I109">
        <v>303.48</v>
      </c>
      <c r="J109">
        <v>0.2</v>
      </c>
      <c r="K109" s="3">
        <v>121.392</v>
      </c>
      <c r="L109">
        <v>485.56800000000004</v>
      </c>
      <c r="M109">
        <v>98.968000000000018</v>
      </c>
      <c r="N109" t="str">
        <f>"P. "&amp;(Sales__tbl[[#This Row],[product_id]]&amp;"."&amp;TEXT(Sales__tbl[[#This Row],[selling_price]],"0.00"))</f>
        <v>P. P.id01.303.48</v>
      </c>
    </row>
    <row r="110" spans="1:14" x14ac:dyDescent="0.25">
      <c r="A110">
        <v>109</v>
      </c>
      <c r="B110" s="9" t="str">
        <f>TEXT(Sales__tbl[[#This Row],[date]],"MM")</f>
        <v>05</v>
      </c>
      <c r="C110" s="13">
        <v>45077</v>
      </c>
      <c r="D110" t="str">
        <f>_xlfn.XLOOKUP(Sales__tbl[[#This Row],[customer_id]],customer_tbl[customer_id],customer_tbl[Branch_id],"Not found")</f>
        <v>W02</v>
      </c>
      <c r="E110" t="s">
        <v>1117</v>
      </c>
      <c r="F110" t="s">
        <v>956</v>
      </c>
      <c r="G110" t="s">
        <v>831</v>
      </c>
      <c r="H110">
        <v>1</v>
      </c>
      <c r="I110">
        <v>303.48</v>
      </c>
      <c r="J110">
        <v>0.15</v>
      </c>
      <c r="K110" s="3">
        <v>45.521999999999991</v>
      </c>
      <c r="L110">
        <v>257.95800000000003</v>
      </c>
      <c r="M110">
        <v>64.658000000000015</v>
      </c>
      <c r="N110" t="str">
        <f>"P. "&amp;(Sales__tbl[[#This Row],[product_id]]&amp;"."&amp;TEXT(Sales__tbl[[#This Row],[selling_price]],"0.00"))</f>
        <v>P. P.id01.303.48</v>
      </c>
    </row>
    <row r="111" spans="1:14" x14ac:dyDescent="0.25">
      <c r="A111">
        <v>110</v>
      </c>
      <c r="B111" s="9" t="str">
        <f>TEXT(Sales__tbl[[#This Row],[date]],"MM")</f>
        <v>06</v>
      </c>
      <c r="C111" s="13">
        <v>45078</v>
      </c>
      <c r="D111" t="str">
        <f>_xlfn.XLOOKUP(Sales__tbl[[#This Row],[customer_id]],customer_tbl[customer_id],customer_tbl[Branch_id],"Not found")</f>
        <v>S02</v>
      </c>
      <c r="E111" t="s">
        <v>1093</v>
      </c>
      <c r="F111" t="s">
        <v>961</v>
      </c>
      <c r="G111" t="s">
        <v>940</v>
      </c>
      <c r="H111">
        <v>1</v>
      </c>
      <c r="I111">
        <v>66.790000000000006</v>
      </c>
      <c r="J111">
        <v>0</v>
      </c>
      <c r="K111" s="3">
        <v>0</v>
      </c>
      <c r="L111">
        <v>66.790000000000006</v>
      </c>
      <c r="M111">
        <v>22.850000000000009</v>
      </c>
      <c r="N111" t="str">
        <f>"P. "&amp;(Sales__tbl[[#This Row],[product_id]]&amp;"."&amp;TEXT(Sales__tbl[[#This Row],[selling_price]],"0.00"))</f>
        <v>P. P.id06.66.79</v>
      </c>
    </row>
    <row r="112" spans="1:14" x14ac:dyDescent="0.25">
      <c r="A112">
        <v>111</v>
      </c>
      <c r="B112" s="9" t="str">
        <f>TEXT(Sales__tbl[[#This Row],[date]],"MM")</f>
        <v>06</v>
      </c>
      <c r="C112" s="13">
        <v>45079</v>
      </c>
      <c r="D112" t="str">
        <f>_xlfn.XLOOKUP(Sales__tbl[[#This Row],[customer_id]],customer_tbl[customer_id],customer_tbl[Branch_id],"Not found")</f>
        <v>S02</v>
      </c>
      <c r="E112" t="s">
        <v>984</v>
      </c>
      <c r="F112" t="s">
        <v>961</v>
      </c>
      <c r="G112" t="s">
        <v>940</v>
      </c>
      <c r="H112">
        <v>2</v>
      </c>
      <c r="I112">
        <v>66.790000000000006</v>
      </c>
      <c r="J112">
        <v>0</v>
      </c>
      <c r="K112" s="3">
        <v>0</v>
      </c>
      <c r="L112">
        <v>133.58000000000001</v>
      </c>
      <c r="M112">
        <v>45.700000000000017</v>
      </c>
      <c r="N112" t="str">
        <f>"P. "&amp;(Sales__tbl[[#This Row],[product_id]]&amp;"."&amp;TEXT(Sales__tbl[[#This Row],[selling_price]],"0.00"))</f>
        <v>P. P.id06.66.79</v>
      </c>
    </row>
    <row r="113" spans="1:14" x14ac:dyDescent="0.25">
      <c r="A113">
        <v>112</v>
      </c>
      <c r="B113" s="9" t="str">
        <f>TEXT(Sales__tbl[[#This Row],[date]],"MM")</f>
        <v>06</v>
      </c>
      <c r="C113" s="13">
        <v>45080</v>
      </c>
      <c r="D113" t="str">
        <f>_xlfn.XLOOKUP(Sales__tbl[[#This Row],[customer_id]],customer_tbl[customer_id],customer_tbl[Branch_id],"Not found")</f>
        <v>E02</v>
      </c>
      <c r="E113" t="s">
        <v>1118</v>
      </c>
      <c r="F113" t="s">
        <v>959</v>
      </c>
      <c r="G113" t="s">
        <v>837</v>
      </c>
      <c r="H113">
        <v>2</v>
      </c>
      <c r="I113">
        <v>11.53</v>
      </c>
      <c r="J113">
        <v>0</v>
      </c>
      <c r="K113" s="3">
        <v>0</v>
      </c>
      <c r="L113">
        <v>23.06</v>
      </c>
      <c r="M113">
        <v>5.0399999999999991</v>
      </c>
      <c r="N113" t="str">
        <f>"P. "&amp;(Sales__tbl[[#This Row],[product_id]]&amp;"."&amp;TEXT(Sales__tbl[[#This Row],[selling_price]],"0.00"))</f>
        <v>P. P.id04.11.53</v>
      </c>
    </row>
    <row r="114" spans="1:14" x14ac:dyDescent="0.25">
      <c r="A114">
        <v>113</v>
      </c>
      <c r="B114" s="9" t="str">
        <f>TEXT(Sales__tbl[[#This Row],[date]],"MM")</f>
        <v>06</v>
      </c>
      <c r="C114" s="13">
        <v>45081</v>
      </c>
      <c r="D114" t="str">
        <f>_xlfn.XLOOKUP(Sales__tbl[[#This Row],[customer_id]],customer_tbl[customer_id],customer_tbl[Branch_id],"Not found")</f>
        <v>W02</v>
      </c>
      <c r="E114" t="s">
        <v>991</v>
      </c>
      <c r="F114" t="s">
        <v>962</v>
      </c>
      <c r="G114" t="s">
        <v>941</v>
      </c>
      <c r="H114">
        <v>1</v>
      </c>
      <c r="I114">
        <v>259.11</v>
      </c>
      <c r="J114">
        <v>0.1</v>
      </c>
      <c r="K114" s="3">
        <v>25.911000000000001</v>
      </c>
      <c r="L114">
        <v>233.19900000000001</v>
      </c>
      <c r="M114">
        <v>59.299000000000007</v>
      </c>
      <c r="N114" t="str">
        <f>"P. "&amp;(Sales__tbl[[#This Row],[product_id]]&amp;"."&amp;TEXT(Sales__tbl[[#This Row],[selling_price]],"0.00"))</f>
        <v>P. P.id07.259.11</v>
      </c>
    </row>
    <row r="115" spans="1:14" x14ac:dyDescent="0.25">
      <c r="A115">
        <v>114</v>
      </c>
      <c r="B115" s="9" t="str">
        <f>TEXT(Sales__tbl[[#This Row],[date]],"MM")</f>
        <v>06</v>
      </c>
      <c r="C115" s="13">
        <v>45082</v>
      </c>
      <c r="D115" t="str">
        <f>_xlfn.XLOOKUP(Sales__tbl[[#This Row],[customer_id]],customer_tbl[customer_id],customer_tbl[Branch_id],"Not found")</f>
        <v>N01</v>
      </c>
      <c r="E115" t="s">
        <v>998</v>
      </c>
      <c r="F115" t="s">
        <v>956</v>
      </c>
      <c r="G115" t="s">
        <v>831</v>
      </c>
      <c r="H115">
        <v>1</v>
      </c>
      <c r="I115">
        <v>303.48</v>
      </c>
      <c r="J115">
        <v>0.15</v>
      </c>
      <c r="K115" s="3">
        <v>45.521999999999991</v>
      </c>
      <c r="L115">
        <v>257.95800000000003</v>
      </c>
      <c r="M115">
        <v>64.658000000000015</v>
      </c>
      <c r="N115" t="str">
        <f>"P. "&amp;(Sales__tbl[[#This Row],[product_id]]&amp;"."&amp;TEXT(Sales__tbl[[#This Row],[selling_price]],"0.00"))</f>
        <v>P. P.id01.303.48</v>
      </c>
    </row>
    <row r="116" spans="1:14" x14ac:dyDescent="0.25">
      <c r="A116">
        <v>115</v>
      </c>
      <c r="B116" s="9" t="str">
        <f>TEXT(Sales__tbl[[#This Row],[date]],"MM")</f>
        <v>06</v>
      </c>
      <c r="C116" s="13">
        <v>45083</v>
      </c>
      <c r="D116" t="str">
        <f>_xlfn.XLOOKUP(Sales__tbl[[#This Row],[customer_id]],customer_tbl[customer_id],customer_tbl[Branch_id],"Not found")</f>
        <v>S01</v>
      </c>
      <c r="E116" t="s">
        <v>1095</v>
      </c>
      <c r="F116" t="s">
        <v>960</v>
      </c>
      <c r="G116" t="s">
        <v>839</v>
      </c>
      <c r="H116">
        <v>1</v>
      </c>
      <c r="I116">
        <v>165.45</v>
      </c>
      <c r="J116">
        <v>0.1</v>
      </c>
      <c r="K116" s="3">
        <v>16.544999999999987</v>
      </c>
      <c r="L116">
        <v>148.905</v>
      </c>
      <c r="M116">
        <v>25.435000000000002</v>
      </c>
      <c r="N116" t="str">
        <f>"P. "&amp;(Sales__tbl[[#This Row],[product_id]]&amp;"."&amp;TEXT(Sales__tbl[[#This Row],[selling_price]],"0.00"))</f>
        <v>P. P.id05.165.45</v>
      </c>
    </row>
    <row r="117" spans="1:14" x14ac:dyDescent="0.25">
      <c r="A117">
        <v>116</v>
      </c>
      <c r="B117" s="9" t="str">
        <f>TEXT(Sales__tbl[[#This Row],[date]],"MM")</f>
        <v>06</v>
      </c>
      <c r="C117" s="13">
        <v>45084</v>
      </c>
      <c r="D117" t="str">
        <f>_xlfn.XLOOKUP(Sales__tbl[[#This Row],[customer_id]],customer_tbl[customer_id],customer_tbl[Branch_id],"Not found")</f>
        <v>N01</v>
      </c>
      <c r="E117" t="s">
        <v>1020</v>
      </c>
      <c r="F117" t="s">
        <v>965</v>
      </c>
      <c r="G117" t="s">
        <v>847</v>
      </c>
      <c r="H117">
        <v>1</v>
      </c>
      <c r="I117">
        <v>168</v>
      </c>
      <c r="J117">
        <v>0.1</v>
      </c>
      <c r="K117" s="3">
        <v>16.799999999999983</v>
      </c>
      <c r="L117">
        <v>151.20000000000002</v>
      </c>
      <c r="M117">
        <v>29.460000000000022</v>
      </c>
      <c r="N117" t="str">
        <f>"P. "&amp;(Sales__tbl[[#This Row],[product_id]]&amp;"."&amp;TEXT(Sales__tbl[[#This Row],[selling_price]],"0.00"))</f>
        <v>P. P.id10.168.00</v>
      </c>
    </row>
    <row r="118" spans="1:14" x14ac:dyDescent="0.25">
      <c r="A118">
        <v>117</v>
      </c>
      <c r="B118" s="9" t="str">
        <f>TEXT(Sales__tbl[[#This Row],[date]],"MM")</f>
        <v>06</v>
      </c>
      <c r="C118" s="13">
        <v>45085</v>
      </c>
      <c r="D118" t="str">
        <f>_xlfn.XLOOKUP(Sales__tbl[[#This Row],[customer_id]],customer_tbl[customer_id],customer_tbl[Branch_id],"Not found")</f>
        <v>E02</v>
      </c>
      <c r="E118" t="s">
        <v>1119</v>
      </c>
      <c r="F118" t="s">
        <v>957</v>
      </c>
      <c r="G118" t="s">
        <v>833</v>
      </c>
      <c r="H118">
        <v>2</v>
      </c>
      <c r="I118">
        <v>55.26</v>
      </c>
      <c r="J118">
        <v>0</v>
      </c>
      <c r="K118" s="3">
        <v>0</v>
      </c>
      <c r="L118">
        <v>110.52</v>
      </c>
      <c r="M118">
        <v>39.679999999999993</v>
      </c>
      <c r="N118" t="str">
        <f>"P. "&amp;(Sales__tbl[[#This Row],[product_id]]&amp;"."&amp;TEXT(Sales__tbl[[#This Row],[selling_price]],"0.00"))</f>
        <v>P. P.id02.55.26</v>
      </c>
    </row>
    <row r="119" spans="1:14" x14ac:dyDescent="0.25">
      <c r="A119">
        <v>118</v>
      </c>
      <c r="B119" s="9" t="str">
        <f>TEXT(Sales__tbl[[#This Row],[date]],"MM")</f>
        <v>06</v>
      </c>
      <c r="C119" s="13">
        <v>45086</v>
      </c>
      <c r="D119" t="str">
        <f>_xlfn.XLOOKUP(Sales__tbl[[#This Row],[customer_id]],customer_tbl[customer_id],customer_tbl[Branch_id],"Not found")</f>
        <v>S02</v>
      </c>
      <c r="E119" t="s">
        <v>1019</v>
      </c>
      <c r="F119" t="s">
        <v>964</v>
      </c>
      <c r="G119" t="s">
        <v>943</v>
      </c>
      <c r="H119">
        <v>1</v>
      </c>
      <c r="I119">
        <v>190.58</v>
      </c>
      <c r="J119">
        <v>0.1</v>
      </c>
      <c r="K119" s="3">
        <v>19.057999999999993</v>
      </c>
      <c r="L119">
        <v>171.52200000000002</v>
      </c>
      <c r="M119">
        <v>23.782000000000011</v>
      </c>
      <c r="N119" t="str">
        <f>"P. "&amp;(Sales__tbl[[#This Row],[product_id]]&amp;"."&amp;TEXT(Sales__tbl[[#This Row],[selling_price]],"0.00"))</f>
        <v>P. P.id09.190.58</v>
      </c>
    </row>
    <row r="120" spans="1:14" x14ac:dyDescent="0.25">
      <c r="A120">
        <v>119</v>
      </c>
      <c r="B120" s="9" t="str">
        <f>TEXT(Sales__tbl[[#This Row],[date]],"MM")</f>
        <v>06</v>
      </c>
      <c r="C120" s="13">
        <v>45087</v>
      </c>
      <c r="D120" t="str">
        <f>_xlfn.XLOOKUP(Sales__tbl[[#This Row],[customer_id]],customer_tbl[customer_id],customer_tbl[Branch_id],"Not found")</f>
        <v>C02</v>
      </c>
      <c r="E120" t="s">
        <v>1036</v>
      </c>
      <c r="F120" t="s">
        <v>957</v>
      </c>
      <c r="G120" t="s">
        <v>833</v>
      </c>
      <c r="H120">
        <v>1</v>
      </c>
      <c r="I120">
        <v>55.26</v>
      </c>
      <c r="J120">
        <v>0</v>
      </c>
      <c r="K120" s="3">
        <v>0</v>
      </c>
      <c r="L120">
        <v>55.26</v>
      </c>
      <c r="M120">
        <v>19.839999999999996</v>
      </c>
      <c r="N120" t="str">
        <f>"P. "&amp;(Sales__tbl[[#This Row],[product_id]]&amp;"."&amp;TEXT(Sales__tbl[[#This Row],[selling_price]],"0.00"))</f>
        <v>P. P.id02.55.26</v>
      </c>
    </row>
    <row r="121" spans="1:14" x14ac:dyDescent="0.25">
      <c r="A121">
        <v>120</v>
      </c>
      <c r="B121" s="9" t="str">
        <f>TEXT(Sales__tbl[[#This Row],[date]],"MM")</f>
        <v>06</v>
      </c>
      <c r="C121" s="13">
        <v>45088</v>
      </c>
      <c r="D121" t="str">
        <f>_xlfn.XLOOKUP(Sales__tbl[[#This Row],[customer_id]],customer_tbl[customer_id],customer_tbl[Branch_id],"Not found")</f>
        <v>N01</v>
      </c>
      <c r="E121" t="s">
        <v>1070</v>
      </c>
      <c r="F121" t="s">
        <v>957</v>
      </c>
      <c r="G121" t="s">
        <v>833</v>
      </c>
      <c r="H121">
        <v>1</v>
      </c>
      <c r="I121">
        <v>55.26</v>
      </c>
      <c r="J121">
        <v>0</v>
      </c>
      <c r="K121" s="3">
        <v>0</v>
      </c>
      <c r="L121">
        <v>55.26</v>
      </c>
      <c r="M121">
        <v>19.839999999999996</v>
      </c>
      <c r="N121" t="str">
        <f>"P. "&amp;(Sales__tbl[[#This Row],[product_id]]&amp;"."&amp;TEXT(Sales__tbl[[#This Row],[selling_price]],"0.00"))</f>
        <v>P. P.id02.55.26</v>
      </c>
    </row>
    <row r="122" spans="1:14" x14ac:dyDescent="0.25">
      <c r="A122">
        <v>121</v>
      </c>
      <c r="B122" s="9" t="str">
        <f>TEXT(Sales__tbl[[#This Row],[date]],"MM")</f>
        <v>06</v>
      </c>
      <c r="C122" s="13">
        <v>45089</v>
      </c>
      <c r="D122" t="str">
        <f>_xlfn.XLOOKUP(Sales__tbl[[#This Row],[customer_id]],customer_tbl[customer_id],customer_tbl[Branch_id],"Not found")</f>
        <v>S02</v>
      </c>
      <c r="E122" t="s">
        <v>1019</v>
      </c>
      <c r="F122" t="s">
        <v>964</v>
      </c>
      <c r="G122" t="s">
        <v>943</v>
      </c>
      <c r="H122">
        <v>1</v>
      </c>
      <c r="I122">
        <v>190.58</v>
      </c>
      <c r="J122">
        <v>0.1</v>
      </c>
      <c r="K122" s="3">
        <v>19.057999999999993</v>
      </c>
      <c r="L122">
        <v>171.52200000000002</v>
      </c>
      <c r="M122">
        <v>23.782000000000011</v>
      </c>
      <c r="N122" t="str">
        <f>"P. "&amp;(Sales__tbl[[#This Row],[product_id]]&amp;"."&amp;TEXT(Sales__tbl[[#This Row],[selling_price]],"0.00"))</f>
        <v>P. P.id09.190.58</v>
      </c>
    </row>
    <row r="123" spans="1:14" x14ac:dyDescent="0.25">
      <c r="A123">
        <v>122</v>
      </c>
      <c r="B123" s="9" t="str">
        <f>TEXT(Sales__tbl[[#This Row],[date]],"MM")</f>
        <v>06</v>
      </c>
      <c r="C123" s="13">
        <v>45090</v>
      </c>
      <c r="D123" t="str">
        <f>_xlfn.XLOOKUP(Sales__tbl[[#This Row],[customer_id]],customer_tbl[customer_id],customer_tbl[Branch_id],"Not found")</f>
        <v>E02</v>
      </c>
      <c r="E123" t="s">
        <v>1060</v>
      </c>
      <c r="F123" t="s">
        <v>958</v>
      </c>
      <c r="G123" t="s">
        <v>939</v>
      </c>
      <c r="H123">
        <v>1</v>
      </c>
      <c r="I123">
        <v>90.53</v>
      </c>
      <c r="J123">
        <v>0</v>
      </c>
      <c r="K123" s="3">
        <v>0</v>
      </c>
      <c r="L123">
        <v>90.53</v>
      </c>
      <c r="M123">
        <v>12.489999999999995</v>
      </c>
      <c r="N123" t="str">
        <f>"P. "&amp;(Sales__tbl[[#This Row],[product_id]]&amp;"."&amp;TEXT(Sales__tbl[[#This Row],[selling_price]],"0.00"))</f>
        <v>P. P.id03.90.53</v>
      </c>
    </row>
    <row r="124" spans="1:14" x14ac:dyDescent="0.25">
      <c r="A124">
        <v>123</v>
      </c>
      <c r="B124" s="9" t="str">
        <f>TEXT(Sales__tbl[[#This Row],[date]],"MM")</f>
        <v>06</v>
      </c>
      <c r="C124" s="13">
        <v>45091</v>
      </c>
      <c r="D124" t="str">
        <f>_xlfn.XLOOKUP(Sales__tbl[[#This Row],[customer_id]],customer_tbl[customer_id],customer_tbl[Branch_id],"Not found")</f>
        <v>S02</v>
      </c>
      <c r="E124" t="s">
        <v>1120</v>
      </c>
      <c r="F124" t="s">
        <v>965</v>
      </c>
      <c r="G124" t="s">
        <v>847</v>
      </c>
      <c r="H124">
        <v>1</v>
      </c>
      <c r="I124">
        <v>168</v>
      </c>
      <c r="J124">
        <v>0.1</v>
      </c>
      <c r="K124" s="3">
        <v>16.799999999999983</v>
      </c>
      <c r="L124">
        <v>151.20000000000002</v>
      </c>
      <c r="M124">
        <v>29.460000000000022</v>
      </c>
      <c r="N124" t="str">
        <f>"P. "&amp;(Sales__tbl[[#This Row],[product_id]]&amp;"."&amp;TEXT(Sales__tbl[[#This Row],[selling_price]],"0.00"))</f>
        <v>P. P.id10.168.00</v>
      </c>
    </row>
    <row r="125" spans="1:14" x14ac:dyDescent="0.25">
      <c r="A125">
        <v>124</v>
      </c>
      <c r="B125" s="9" t="str">
        <f>TEXT(Sales__tbl[[#This Row],[date]],"MM")</f>
        <v>06</v>
      </c>
      <c r="C125" s="13">
        <v>45092</v>
      </c>
      <c r="D125" t="str">
        <f>_xlfn.XLOOKUP(Sales__tbl[[#This Row],[customer_id]],customer_tbl[customer_id],customer_tbl[Branch_id],"Not found")</f>
        <v>N01</v>
      </c>
      <c r="E125" t="s">
        <v>1020</v>
      </c>
      <c r="F125" t="s">
        <v>964</v>
      </c>
      <c r="G125" t="s">
        <v>943</v>
      </c>
      <c r="H125">
        <v>2</v>
      </c>
      <c r="I125">
        <v>190.58</v>
      </c>
      <c r="J125">
        <v>0.15</v>
      </c>
      <c r="K125" s="3">
        <v>57.174000000000035</v>
      </c>
      <c r="L125">
        <v>323.98599999999999</v>
      </c>
      <c r="M125">
        <v>28.505999999999972</v>
      </c>
      <c r="N125" t="str">
        <f>"P. "&amp;(Sales__tbl[[#This Row],[product_id]]&amp;"."&amp;TEXT(Sales__tbl[[#This Row],[selling_price]],"0.00"))</f>
        <v>P. P.id09.190.58</v>
      </c>
    </row>
    <row r="126" spans="1:14" x14ac:dyDescent="0.25">
      <c r="A126">
        <v>125</v>
      </c>
      <c r="B126" s="9" t="str">
        <f>TEXT(Sales__tbl[[#This Row],[date]],"MM")</f>
        <v>06</v>
      </c>
      <c r="C126" s="13">
        <v>45093</v>
      </c>
      <c r="D126" t="str">
        <f>_xlfn.XLOOKUP(Sales__tbl[[#This Row],[customer_id]],customer_tbl[customer_id],customer_tbl[Branch_id],"Not found")</f>
        <v>N01</v>
      </c>
      <c r="E126" t="s">
        <v>1069</v>
      </c>
      <c r="F126" t="s">
        <v>959</v>
      </c>
      <c r="G126" t="s">
        <v>837</v>
      </c>
      <c r="H126">
        <v>2</v>
      </c>
      <c r="I126">
        <v>11.53</v>
      </c>
      <c r="J126">
        <v>0</v>
      </c>
      <c r="K126" s="3">
        <v>0</v>
      </c>
      <c r="L126">
        <v>23.06</v>
      </c>
      <c r="M126">
        <v>5.0399999999999991</v>
      </c>
      <c r="N126" t="str">
        <f>"P. "&amp;(Sales__tbl[[#This Row],[product_id]]&amp;"."&amp;TEXT(Sales__tbl[[#This Row],[selling_price]],"0.00"))</f>
        <v>P. P.id04.11.53</v>
      </c>
    </row>
    <row r="127" spans="1:14" x14ac:dyDescent="0.25">
      <c r="A127">
        <v>126</v>
      </c>
      <c r="B127" s="9" t="str">
        <f>TEXT(Sales__tbl[[#This Row],[date]],"MM")</f>
        <v>06</v>
      </c>
      <c r="C127" s="13">
        <v>45094</v>
      </c>
      <c r="D127" t="str">
        <f>_xlfn.XLOOKUP(Sales__tbl[[#This Row],[customer_id]],customer_tbl[customer_id],customer_tbl[Branch_id],"Not found")</f>
        <v>W01</v>
      </c>
      <c r="E127" t="s">
        <v>1082</v>
      </c>
      <c r="F127" t="s">
        <v>957</v>
      </c>
      <c r="G127" t="s">
        <v>833</v>
      </c>
      <c r="H127">
        <v>1</v>
      </c>
      <c r="I127">
        <v>55.26</v>
      </c>
      <c r="J127">
        <v>0</v>
      </c>
      <c r="K127" s="3">
        <v>0</v>
      </c>
      <c r="L127">
        <v>55.26</v>
      </c>
      <c r="M127">
        <v>19.839999999999996</v>
      </c>
      <c r="N127" t="str">
        <f>"P. "&amp;(Sales__tbl[[#This Row],[product_id]]&amp;"."&amp;TEXT(Sales__tbl[[#This Row],[selling_price]],"0.00"))</f>
        <v>P. P.id02.55.26</v>
      </c>
    </row>
    <row r="128" spans="1:14" x14ac:dyDescent="0.25">
      <c r="A128">
        <v>127</v>
      </c>
      <c r="B128" s="9" t="str">
        <f>TEXT(Sales__tbl[[#This Row],[date]],"MM")</f>
        <v>06</v>
      </c>
      <c r="C128" s="13">
        <v>45095</v>
      </c>
      <c r="D128" t="str">
        <f>_xlfn.XLOOKUP(Sales__tbl[[#This Row],[customer_id]],customer_tbl[customer_id],customer_tbl[Branch_id],"Not found")</f>
        <v>N01</v>
      </c>
      <c r="E128" t="s">
        <v>1114</v>
      </c>
      <c r="F128" t="s">
        <v>964</v>
      </c>
      <c r="G128" t="s">
        <v>943</v>
      </c>
      <c r="H128">
        <v>2</v>
      </c>
      <c r="I128">
        <v>190.58</v>
      </c>
      <c r="J128">
        <v>0.15</v>
      </c>
      <c r="K128" s="3">
        <v>57.174000000000035</v>
      </c>
      <c r="L128">
        <v>323.98599999999999</v>
      </c>
      <c r="M128">
        <v>28.505999999999972</v>
      </c>
      <c r="N128" t="str">
        <f>"P. "&amp;(Sales__tbl[[#This Row],[product_id]]&amp;"."&amp;TEXT(Sales__tbl[[#This Row],[selling_price]],"0.00"))</f>
        <v>P. P.id09.190.58</v>
      </c>
    </row>
    <row r="129" spans="1:14" x14ac:dyDescent="0.25">
      <c r="A129">
        <v>128</v>
      </c>
      <c r="B129" s="9" t="str">
        <f>TEXT(Sales__tbl[[#This Row],[date]],"MM")</f>
        <v>06</v>
      </c>
      <c r="C129" s="13">
        <v>45096</v>
      </c>
      <c r="D129" t="str">
        <f>_xlfn.XLOOKUP(Sales__tbl[[#This Row],[customer_id]],customer_tbl[customer_id],customer_tbl[Branch_id],"Not found")</f>
        <v>W01</v>
      </c>
      <c r="E129" t="s">
        <v>1121</v>
      </c>
      <c r="F129" t="s">
        <v>967</v>
      </c>
      <c r="G129" t="s">
        <v>872</v>
      </c>
      <c r="H129">
        <v>1</v>
      </c>
      <c r="I129">
        <v>91.73</v>
      </c>
      <c r="J129">
        <v>0</v>
      </c>
      <c r="K129" s="3">
        <v>0</v>
      </c>
      <c r="L129">
        <v>91.73</v>
      </c>
      <c r="M129">
        <v>15.290000000000006</v>
      </c>
      <c r="N129" t="str">
        <f>"P. "&amp;(Sales__tbl[[#This Row],[product_id]]&amp;"."&amp;TEXT(Sales__tbl[[#This Row],[selling_price]],"0.00"))</f>
        <v>P. P.id12.91.73</v>
      </c>
    </row>
    <row r="130" spans="1:14" x14ac:dyDescent="0.25">
      <c r="A130">
        <v>129</v>
      </c>
      <c r="B130" s="9" t="str">
        <f>TEXT(Sales__tbl[[#This Row],[date]],"MM")</f>
        <v>06</v>
      </c>
      <c r="C130" s="13">
        <v>45097</v>
      </c>
      <c r="D130" t="str">
        <f>_xlfn.XLOOKUP(Sales__tbl[[#This Row],[customer_id]],customer_tbl[customer_id],customer_tbl[Branch_id],"Not found")</f>
        <v>E01</v>
      </c>
      <c r="E130" t="s">
        <v>1074</v>
      </c>
      <c r="F130" t="s">
        <v>963</v>
      </c>
      <c r="G130" t="s">
        <v>942</v>
      </c>
      <c r="H130">
        <v>1</v>
      </c>
      <c r="I130">
        <v>274.16000000000003</v>
      </c>
      <c r="J130">
        <v>0.1</v>
      </c>
      <c r="K130" s="3">
        <v>27.415999999999997</v>
      </c>
      <c r="L130">
        <v>246.74400000000003</v>
      </c>
      <c r="M130">
        <v>56.354000000000042</v>
      </c>
      <c r="N130" t="str">
        <f>"P. "&amp;(Sales__tbl[[#This Row],[product_id]]&amp;"."&amp;TEXT(Sales__tbl[[#This Row],[selling_price]],"0.00"))</f>
        <v>P. P.id08.274.16</v>
      </c>
    </row>
    <row r="131" spans="1:14" x14ac:dyDescent="0.25">
      <c r="A131">
        <v>130</v>
      </c>
      <c r="B131" s="9" t="str">
        <f>TEXT(Sales__tbl[[#This Row],[date]],"MM")</f>
        <v>06</v>
      </c>
      <c r="C131" s="13">
        <v>45098</v>
      </c>
      <c r="D131" t="str">
        <f>_xlfn.XLOOKUP(Sales__tbl[[#This Row],[customer_id]],customer_tbl[customer_id],customer_tbl[Branch_id],"Not found")</f>
        <v>C02</v>
      </c>
      <c r="E131" t="s">
        <v>1083</v>
      </c>
      <c r="F131" t="s">
        <v>957</v>
      </c>
      <c r="G131" t="s">
        <v>833</v>
      </c>
      <c r="H131">
        <v>1</v>
      </c>
      <c r="I131">
        <v>55.26</v>
      </c>
      <c r="J131">
        <v>0</v>
      </c>
      <c r="K131" s="3">
        <v>0</v>
      </c>
      <c r="L131">
        <v>55.26</v>
      </c>
      <c r="M131">
        <v>19.839999999999996</v>
      </c>
      <c r="N131" t="str">
        <f>"P. "&amp;(Sales__tbl[[#This Row],[product_id]]&amp;"."&amp;TEXT(Sales__tbl[[#This Row],[selling_price]],"0.00"))</f>
        <v>P. P.id02.55.26</v>
      </c>
    </row>
    <row r="132" spans="1:14" x14ac:dyDescent="0.25">
      <c r="A132">
        <v>131</v>
      </c>
      <c r="B132" s="9" t="str">
        <f>TEXT(Sales__tbl[[#This Row],[date]],"MM")</f>
        <v>06</v>
      </c>
      <c r="C132" s="13">
        <v>45099</v>
      </c>
      <c r="D132" t="str">
        <f>_xlfn.XLOOKUP(Sales__tbl[[#This Row],[customer_id]],customer_tbl[customer_id],customer_tbl[Branch_id],"Not found")</f>
        <v>E01</v>
      </c>
      <c r="E132" t="s">
        <v>1040</v>
      </c>
      <c r="F132" t="s">
        <v>956</v>
      </c>
      <c r="G132" t="s">
        <v>831</v>
      </c>
      <c r="H132">
        <v>2</v>
      </c>
      <c r="I132">
        <v>303.48</v>
      </c>
      <c r="J132">
        <v>0.2</v>
      </c>
      <c r="K132" s="3">
        <v>121.392</v>
      </c>
      <c r="L132">
        <v>485.56800000000004</v>
      </c>
      <c r="M132">
        <v>98.968000000000018</v>
      </c>
      <c r="N132" t="str">
        <f>"P. "&amp;(Sales__tbl[[#This Row],[product_id]]&amp;"."&amp;TEXT(Sales__tbl[[#This Row],[selling_price]],"0.00"))</f>
        <v>P. P.id01.303.48</v>
      </c>
    </row>
    <row r="133" spans="1:14" x14ac:dyDescent="0.25">
      <c r="A133">
        <v>132</v>
      </c>
      <c r="B133" s="9" t="str">
        <f>TEXT(Sales__tbl[[#This Row],[date]],"MM")</f>
        <v>06</v>
      </c>
      <c r="C133" s="13">
        <v>45100</v>
      </c>
      <c r="D133" t="str">
        <f>_xlfn.XLOOKUP(Sales__tbl[[#This Row],[customer_id]],customer_tbl[customer_id],customer_tbl[Branch_id],"Not found")</f>
        <v>C01</v>
      </c>
      <c r="E133" t="s">
        <v>1077</v>
      </c>
      <c r="F133" t="s">
        <v>966</v>
      </c>
      <c r="G133" t="s">
        <v>851</v>
      </c>
      <c r="H133">
        <v>1</v>
      </c>
      <c r="I133">
        <v>196.75</v>
      </c>
      <c r="J133">
        <v>0.1</v>
      </c>
      <c r="K133" s="3">
        <v>19.674999999999983</v>
      </c>
      <c r="L133">
        <v>177.07500000000002</v>
      </c>
      <c r="M133">
        <v>20.925000000000011</v>
      </c>
      <c r="N133" t="str">
        <f>"P. "&amp;(Sales__tbl[[#This Row],[product_id]]&amp;"."&amp;TEXT(Sales__tbl[[#This Row],[selling_price]],"0.00"))</f>
        <v>P. P.id11.196.75</v>
      </c>
    </row>
    <row r="134" spans="1:14" x14ac:dyDescent="0.25">
      <c r="A134">
        <v>133</v>
      </c>
      <c r="B134" s="9" t="str">
        <f>TEXT(Sales__tbl[[#This Row],[date]],"MM")</f>
        <v>06</v>
      </c>
      <c r="C134" s="13">
        <v>45101</v>
      </c>
      <c r="D134" t="str">
        <f>_xlfn.XLOOKUP(Sales__tbl[[#This Row],[customer_id]],customer_tbl[customer_id],customer_tbl[Branch_id],"Not found")</f>
        <v>C01</v>
      </c>
      <c r="E134" t="s">
        <v>1103</v>
      </c>
      <c r="F134" t="s">
        <v>959</v>
      </c>
      <c r="G134" t="s">
        <v>837</v>
      </c>
      <c r="H134">
        <v>2</v>
      </c>
      <c r="I134">
        <v>11.53</v>
      </c>
      <c r="J134">
        <v>0</v>
      </c>
      <c r="K134" s="3">
        <v>0</v>
      </c>
      <c r="L134">
        <v>23.06</v>
      </c>
      <c r="M134">
        <v>5.0399999999999991</v>
      </c>
      <c r="N134" t="str">
        <f>"P. "&amp;(Sales__tbl[[#This Row],[product_id]]&amp;"."&amp;TEXT(Sales__tbl[[#This Row],[selling_price]],"0.00"))</f>
        <v>P. P.id04.11.53</v>
      </c>
    </row>
    <row r="135" spans="1:14" x14ac:dyDescent="0.25">
      <c r="A135">
        <v>134</v>
      </c>
      <c r="B135" s="9" t="str">
        <f>TEXT(Sales__tbl[[#This Row],[date]],"MM")</f>
        <v>06</v>
      </c>
      <c r="C135" s="13">
        <v>45102</v>
      </c>
      <c r="D135" t="str">
        <f>_xlfn.XLOOKUP(Sales__tbl[[#This Row],[customer_id]],customer_tbl[customer_id],customer_tbl[Branch_id],"Not found")</f>
        <v>C02</v>
      </c>
      <c r="E135" t="s">
        <v>1075</v>
      </c>
      <c r="F135" t="s">
        <v>957</v>
      </c>
      <c r="G135" t="s">
        <v>833</v>
      </c>
      <c r="H135">
        <v>1</v>
      </c>
      <c r="I135">
        <v>55.26</v>
      </c>
      <c r="J135">
        <v>0</v>
      </c>
      <c r="K135" s="3">
        <v>0</v>
      </c>
      <c r="L135">
        <v>55.26</v>
      </c>
      <c r="M135">
        <v>19.839999999999996</v>
      </c>
      <c r="N135" t="str">
        <f>"P. "&amp;(Sales__tbl[[#This Row],[product_id]]&amp;"."&amp;TEXT(Sales__tbl[[#This Row],[selling_price]],"0.00"))</f>
        <v>P. P.id02.55.26</v>
      </c>
    </row>
    <row r="136" spans="1:14" x14ac:dyDescent="0.25">
      <c r="A136">
        <v>135</v>
      </c>
      <c r="B136" s="9" t="str">
        <f>TEXT(Sales__tbl[[#This Row],[date]],"MM")</f>
        <v>06</v>
      </c>
      <c r="C136" s="13">
        <v>45103</v>
      </c>
      <c r="D136" t="str">
        <f>_xlfn.XLOOKUP(Sales__tbl[[#This Row],[customer_id]],customer_tbl[customer_id],customer_tbl[Branch_id],"Not found")</f>
        <v>C01</v>
      </c>
      <c r="E136" t="s">
        <v>1055</v>
      </c>
      <c r="F136" t="s">
        <v>965</v>
      </c>
      <c r="G136" t="s">
        <v>847</v>
      </c>
      <c r="H136">
        <v>1</v>
      </c>
      <c r="I136">
        <v>168</v>
      </c>
      <c r="J136">
        <v>0.1</v>
      </c>
      <c r="K136" s="3">
        <v>16.799999999999983</v>
      </c>
      <c r="L136">
        <v>151.20000000000002</v>
      </c>
      <c r="M136">
        <v>29.460000000000022</v>
      </c>
      <c r="N136" t="str">
        <f>"P. "&amp;(Sales__tbl[[#This Row],[product_id]]&amp;"."&amp;TEXT(Sales__tbl[[#This Row],[selling_price]],"0.00"))</f>
        <v>P. P.id10.168.00</v>
      </c>
    </row>
    <row r="137" spans="1:14" x14ac:dyDescent="0.25">
      <c r="A137">
        <v>136</v>
      </c>
      <c r="B137" s="9" t="str">
        <f>TEXT(Sales__tbl[[#This Row],[date]],"MM")</f>
        <v>06</v>
      </c>
      <c r="C137" s="13">
        <v>45104</v>
      </c>
      <c r="D137" t="str">
        <f>_xlfn.XLOOKUP(Sales__tbl[[#This Row],[customer_id]],customer_tbl[customer_id],customer_tbl[Branch_id],"Not found")</f>
        <v>C01</v>
      </c>
      <c r="E137" t="s">
        <v>1122</v>
      </c>
      <c r="F137" t="s">
        <v>965</v>
      </c>
      <c r="G137" t="s">
        <v>847</v>
      </c>
      <c r="H137">
        <v>1</v>
      </c>
      <c r="I137">
        <v>168</v>
      </c>
      <c r="J137">
        <v>0.1</v>
      </c>
      <c r="K137" s="3">
        <v>16.799999999999983</v>
      </c>
      <c r="L137">
        <v>151.20000000000002</v>
      </c>
      <c r="M137">
        <v>29.460000000000022</v>
      </c>
      <c r="N137" t="str">
        <f>"P. "&amp;(Sales__tbl[[#This Row],[product_id]]&amp;"."&amp;TEXT(Sales__tbl[[#This Row],[selling_price]],"0.00"))</f>
        <v>P. P.id10.168.00</v>
      </c>
    </row>
    <row r="138" spans="1:14" x14ac:dyDescent="0.25">
      <c r="A138">
        <v>137</v>
      </c>
      <c r="B138" s="9" t="str">
        <f>TEXT(Sales__tbl[[#This Row],[date]],"MM")</f>
        <v>06</v>
      </c>
      <c r="C138" s="13">
        <v>45105</v>
      </c>
      <c r="D138" t="str">
        <f>_xlfn.XLOOKUP(Sales__tbl[[#This Row],[customer_id]],customer_tbl[customer_id],customer_tbl[Branch_id],"Not found")</f>
        <v>W02</v>
      </c>
      <c r="E138" t="s">
        <v>1123</v>
      </c>
      <c r="F138" t="s">
        <v>967</v>
      </c>
      <c r="G138" t="s">
        <v>872</v>
      </c>
      <c r="H138">
        <v>4</v>
      </c>
      <c r="I138">
        <v>91.73</v>
      </c>
      <c r="J138">
        <v>0.15</v>
      </c>
      <c r="K138" s="3">
        <v>55.038000000000011</v>
      </c>
      <c r="L138">
        <v>311.88200000000001</v>
      </c>
      <c r="M138">
        <v>6.1220000000000141</v>
      </c>
      <c r="N138" t="str">
        <f>"P. "&amp;(Sales__tbl[[#This Row],[product_id]]&amp;"."&amp;TEXT(Sales__tbl[[#This Row],[selling_price]],"0.00"))</f>
        <v>P. P.id12.91.73</v>
      </c>
    </row>
    <row r="139" spans="1:14" x14ac:dyDescent="0.25">
      <c r="A139">
        <v>138</v>
      </c>
      <c r="B139" s="9" t="str">
        <f>TEXT(Sales__tbl[[#This Row],[date]],"MM")</f>
        <v>06</v>
      </c>
      <c r="C139" s="13">
        <v>45106</v>
      </c>
      <c r="D139" t="str">
        <f>_xlfn.XLOOKUP(Sales__tbl[[#This Row],[customer_id]],customer_tbl[customer_id],customer_tbl[Branch_id],"Not found")</f>
        <v>E02</v>
      </c>
      <c r="E139" t="s">
        <v>1109</v>
      </c>
      <c r="F139" t="s">
        <v>957</v>
      </c>
      <c r="G139" t="s">
        <v>833</v>
      </c>
      <c r="H139">
        <v>1</v>
      </c>
      <c r="I139">
        <v>55.26</v>
      </c>
      <c r="J139">
        <v>0</v>
      </c>
      <c r="K139" s="3">
        <v>0</v>
      </c>
      <c r="L139">
        <v>55.26</v>
      </c>
      <c r="M139">
        <v>19.839999999999996</v>
      </c>
      <c r="N139" t="str">
        <f>"P. "&amp;(Sales__tbl[[#This Row],[product_id]]&amp;"."&amp;TEXT(Sales__tbl[[#This Row],[selling_price]],"0.00"))</f>
        <v>P. P.id02.55.26</v>
      </c>
    </row>
    <row r="140" spans="1:14" x14ac:dyDescent="0.25">
      <c r="A140">
        <v>139</v>
      </c>
      <c r="B140" s="9" t="str">
        <f>TEXT(Sales__tbl[[#This Row],[date]],"MM")</f>
        <v>06</v>
      </c>
      <c r="C140" s="13">
        <v>45107</v>
      </c>
      <c r="D140" t="str">
        <f>_xlfn.XLOOKUP(Sales__tbl[[#This Row],[customer_id]],customer_tbl[customer_id],customer_tbl[Branch_id],"Not found")</f>
        <v>W02</v>
      </c>
      <c r="E140" t="s">
        <v>1124</v>
      </c>
      <c r="F140" t="s">
        <v>959</v>
      </c>
      <c r="G140" t="s">
        <v>837</v>
      </c>
      <c r="H140">
        <v>1</v>
      </c>
      <c r="I140">
        <v>11.53</v>
      </c>
      <c r="J140">
        <v>0</v>
      </c>
      <c r="K140" s="3">
        <v>0</v>
      </c>
      <c r="L140">
        <v>11.53</v>
      </c>
      <c r="M140">
        <v>2.5199999999999996</v>
      </c>
      <c r="N140" t="str">
        <f>"P. "&amp;(Sales__tbl[[#This Row],[product_id]]&amp;"."&amp;TEXT(Sales__tbl[[#This Row],[selling_price]],"0.00"))</f>
        <v>P. P.id04.11.53</v>
      </c>
    </row>
    <row r="141" spans="1:14" x14ac:dyDescent="0.25">
      <c r="A141">
        <v>140</v>
      </c>
      <c r="B141" s="9" t="str">
        <f>TEXT(Sales__tbl[[#This Row],[date]],"MM")</f>
        <v>07</v>
      </c>
      <c r="C141" s="13">
        <v>45108</v>
      </c>
      <c r="D141" t="str">
        <f>_xlfn.XLOOKUP(Sales__tbl[[#This Row],[customer_id]],customer_tbl[customer_id],customer_tbl[Branch_id],"Not found")</f>
        <v>N01</v>
      </c>
      <c r="E141" t="s">
        <v>1012</v>
      </c>
      <c r="F141" t="s">
        <v>957</v>
      </c>
      <c r="G141" t="s">
        <v>833</v>
      </c>
      <c r="H141">
        <v>1</v>
      </c>
      <c r="I141">
        <v>55.26</v>
      </c>
      <c r="J141">
        <v>0</v>
      </c>
      <c r="K141" s="3">
        <v>0</v>
      </c>
      <c r="L141">
        <v>55.26</v>
      </c>
      <c r="M141">
        <v>19.839999999999996</v>
      </c>
      <c r="N141" t="str">
        <f>"P. "&amp;(Sales__tbl[[#This Row],[product_id]]&amp;"."&amp;TEXT(Sales__tbl[[#This Row],[selling_price]],"0.00"))</f>
        <v>P. P.id02.55.26</v>
      </c>
    </row>
    <row r="142" spans="1:14" x14ac:dyDescent="0.25">
      <c r="A142">
        <v>141</v>
      </c>
      <c r="B142" s="9" t="str">
        <f>TEXT(Sales__tbl[[#This Row],[date]],"MM")</f>
        <v>07</v>
      </c>
      <c r="C142" s="13">
        <v>45109</v>
      </c>
      <c r="D142" t="str">
        <f>_xlfn.XLOOKUP(Sales__tbl[[#This Row],[customer_id]],customer_tbl[customer_id],customer_tbl[Branch_id],"Not found")</f>
        <v>S02</v>
      </c>
      <c r="E142" t="s">
        <v>1115</v>
      </c>
      <c r="F142" t="s">
        <v>958</v>
      </c>
      <c r="G142" t="s">
        <v>939</v>
      </c>
      <c r="H142">
        <v>1</v>
      </c>
      <c r="I142">
        <v>90.53</v>
      </c>
      <c r="J142">
        <v>0</v>
      </c>
      <c r="K142" s="3">
        <v>0</v>
      </c>
      <c r="L142">
        <v>90.53</v>
      </c>
      <c r="M142">
        <v>12.489999999999995</v>
      </c>
      <c r="N142" t="str">
        <f>"P. "&amp;(Sales__tbl[[#This Row],[product_id]]&amp;"."&amp;TEXT(Sales__tbl[[#This Row],[selling_price]],"0.00"))</f>
        <v>P. P.id03.90.53</v>
      </c>
    </row>
    <row r="143" spans="1:14" x14ac:dyDescent="0.25">
      <c r="A143">
        <v>142</v>
      </c>
      <c r="B143" s="9" t="str">
        <f>TEXT(Sales__tbl[[#This Row],[date]],"MM")</f>
        <v>07</v>
      </c>
      <c r="C143" s="13">
        <v>45110</v>
      </c>
      <c r="D143" t="str">
        <f>_xlfn.XLOOKUP(Sales__tbl[[#This Row],[customer_id]],customer_tbl[customer_id],customer_tbl[Branch_id],"Not found")</f>
        <v>S01</v>
      </c>
      <c r="E143" t="s">
        <v>1095</v>
      </c>
      <c r="F143" t="s">
        <v>959</v>
      </c>
      <c r="G143" t="s">
        <v>837</v>
      </c>
      <c r="H143">
        <v>2</v>
      </c>
      <c r="I143">
        <v>11.53</v>
      </c>
      <c r="J143">
        <v>0</v>
      </c>
      <c r="K143" s="3">
        <v>0</v>
      </c>
      <c r="L143">
        <v>23.06</v>
      </c>
      <c r="M143">
        <v>5.0399999999999991</v>
      </c>
      <c r="N143" t="str">
        <f>"P. "&amp;(Sales__tbl[[#This Row],[product_id]]&amp;"."&amp;TEXT(Sales__tbl[[#This Row],[selling_price]],"0.00"))</f>
        <v>P. P.id04.11.53</v>
      </c>
    </row>
    <row r="144" spans="1:14" x14ac:dyDescent="0.25">
      <c r="A144">
        <v>143</v>
      </c>
      <c r="B144" s="9" t="str">
        <f>TEXT(Sales__tbl[[#This Row],[date]],"MM")</f>
        <v>07</v>
      </c>
      <c r="C144" s="13">
        <v>45111</v>
      </c>
      <c r="D144" t="str">
        <f>_xlfn.XLOOKUP(Sales__tbl[[#This Row],[customer_id]],customer_tbl[customer_id],customer_tbl[Branch_id],"Not found")</f>
        <v>S02</v>
      </c>
      <c r="E144" t="s">
        <v>1053</v>
      </c>
      <c r="F144" t="s">
        <v>957</v>
      </c>
      <c r="G144" t="s">
        <v>833</v>
      </c>
      <c r="H144">
        <v>1</v>
      </c>
      <c r="I144">
        <v>55.26</v>
      </c>
      <c r="J144">
        <v>0</v>
      </c>
      <c r="K144" s="3">
        <v>0</v>
      </c>
      <c r="L144">
        <v>55.26</v>
      </c>
      <c r="M144">
        <v>19.839999999999996</v>
      </c>
      <c r="N144" t="str">
        <f>"P. "&amp;(Sales__tbl[[#This Row],[product_id]]&amp;"."&amp;TEXT(Sales__tbl[[#This Row],[selling_price]],"0.00"))</f>
        <v>P. P.id02.55.26</v>
      </c>
    </row>
    <row r="145" spans="1:14" x14ac:dyDescent="0.25">
      <c r="A145">
        <v>144</v>
      </c>
      <c r="B145" s="9" t="str">
        <f>TEXT(Sales__tbl[[#This Row],[date]],"MM")</f>
        <v>07</v>
      </c>
      <c r="C145" s="13">
        <v>45112</v>
      </c>
      <c r="D145" t="str">
        <f>_xlfn.XLOOKUP(Sales__tbl[[#This Row],[customer_id]],customer_tbl[customer_id],customer_tbl[Branch_id],"Not found")</f>
        <v>W01</v>
      </c>
      <c r="E145" t="s">
        <v>1121</v>
      </c>
      <c r="F145" t="s">
        <v>963</v>
      </c>
      <c r="G145" t="s">
        <v>942</v>
      </c>
      <c r="H145">
        <v>1</v>
      </c>
      <c r="I145">
        <v>274.16000000000003</v>
      </c>
      <c r="J145">
        <v>0.1</v>
      </c>
      <c r="K145" s="3">
        <v>27.415999999999997</v>
      </c>
      <c r="L145">
        <v>246.74400000000003</v>
      </c>
      <c r="M145">
        <v>56.354000000000042</v>
      </c>
      <c r="N145" t="str">
        <f>"P. "&amp;(Sales__tbl[[#This Row],[product_id]]&amp;"."&amp;TEXT(Sales__tbl[[#This Row],[selling_price]],"0.00"))</f>
        <v>P. P.id08.274.16</v>
      </c>
    </row>
    <row r="146" spans="1:14" x14ac:dyDescent="0.25">
      <c r="A146">
        <v>145</v>
      </c>
      <c r="B146" s="9" t="str">
        <f>TEXT(Sales__tbl[[#This Row],[date]],"MM")</f>
        <v>07</v>
      </c>
      <c r="C146" s="13">
        <v>45113</v>
      </c>
      <c r="D146" t="str">
        <f>_xlfn.XLOOKUP(Sales__tbl[[#This Row],[customer_id]],customer_tbl[customer_id],customer_tbl[Branch_id],"Not found")</f>
        <v>C01</v>
      </c>
      <c r="E146" t="s">
        <v>1037</v>
      </c>
      <c r="F146" t="s">
        <v>964</v>
      </c>
      <c r="G146" t="s">
        <v>943</v>
      </c>
      <c r="H146">
        <v>1</v>
      </c>
      <c r="I146">
        <v>190.58</v>
      </c>
      <c r="J146">
        <v>0.1</v>
      </c>
      <c r="K146" s="3">
        <v>19.057999999999993</v>
      </c>
      <c r="L146">
        <v>171.52200000000002</v>
      </c>
      <c r="M146">
        <v>23.782000000000011</v>
      </c>
      <c r="N146" t="str">
        <f>"P. "&amp;(Sales__tbl[[#This Row],[product_id]]&amp;"."&amp;TEXT(Sales__tbl[[#This Row],[selling_price]],"0.00"))</f>
        <v>P. P.id09.190.58</v>
      </c>
    </row>
    <row r="147" spans="1:14" x14ac:dyDescent="0.25">
      <c r="A147">
        <v>146</v>
      </c>
      <c r="B147" s="9" t="str">
        <f>TEXT(Sales__tbl[[#This Row],[date]],"MM")</f>
        <v>07</v>
      </c>
      <c r="C147" s="13">
        <v>45114</v>
      </c>
      <c r="D147" t="str">
        <f>_xlfn.XLOOKUP(Sales__tbl[[#This Row],[customer_id]],customer_tbl[customer_id],customer_tbl[Branch_id],"Not found")</f>
        <v>N01</v>
      </c>
      <c r="E147" t="s">
        <v>1125</v>
      </c>
      <c r="F147" t="s">
        <v>958</v>
      </c>
      <c r="G147" t="s">
        <v>939</v>
      </c>
      <c r="H147">
        <v>1</v>
      </c>
      <c r="I147">
        <v>90.53</v>
      </c>
      <c r="J147">
        <v>0</v>
      </c>
      <c r="K147" s="3">
        <v>0</v>
      </c>
      <c r="L147">
        <v>90.53</v>
      </c>
      <c r="M147">
        <v>12.489999999999995</v>
      </c>
      <c r="N147" t="str">
        <f>"P. "&amp;(Sales__tbl[[#This Row],[product_id]]&amp;"."&amp;TEXT(Sales__tbl[[#This Row],[selling_price]],"0.00"))</f>
        <v>P. P.id03.90.53</v>
      </c>
    </row>
    <row r="148" spans="1:14" x14ac:dyDescent="0.25">
      <c r="A148">
        <v>147</v>
      </c>
      <c r="B148" s="9" t="str">
        <f>TEXT(Sales__tbl[[#This Row],[date]],"MM")</f>
        <v>07</v>
      </c>
      <c r="C148" s="13">
        <v>45115</v>
      </c>
      <c r="D148" t="str">
        <f>_xlfn.XLOOKUP(Sales__tbl[[#This Row],[customer_id]],customer_tbl[customer_id],customer_tbl[Branch_id],"Not found")</f>
        <v>S02</v>
      </c>
      <c r="E148" t="s">
        <v>1112</v>
      </c>
      <c r="F148" t="s">
        <v>964</v>
      </c>
      <c r="G148" t="s">
        <v>943</v>
      </c>
      <c r="H148">
        <v>1</v>
      </c>
      <c r="I148">
        <v>190.58</v>
      </c>
      <c r="J148">
        <v>0.1</v>
      </c>
      <c r="K148" s="3">
        <v>19.057999999999993</v>
      </c>
      <c r="L148">
        <v>171.52200000000002</v>
      </c>
      <c r="M148">
        <v>23.782000000000011</v>
      </c>
      <c r="N148" t="str">
        <f>"P. "&amp;(Sales__tbl[[#This Row],[product_id]]&amp;"."&amp;TEXT(Sales__tbl[[#This Row],[selling_price]],"0.00"))</f>
        <v>P. P.id09.190.58</v>
      </c>
    </row>
    <row r="149" spans="1:14" x14ac:dyDescent="0.25">
      <c r="A149">
        <v>148</v>
      </c>
      <c r="B149" s="9" t="str">
        <f>TEXT(Sales__tbl[[#This Row],[date]],"MM")</f>
        <v>07</v>
      </c>
      <c r="C149" s="13">
        <v>45116</v>
      </c>
      <c r="D149" t="str">
        <f>_xlfn.XLOOKUP(Sales__tbl[[#This Row],[customer_id]],customer_tbl[customer_id],customer_tbl[Branch_id],"Not found")</f>
        <v>S02</v>
      </c>
      <c r="E149" t="s">
        <v>1053</v>
      </c>
      <c r="F149" t="s">
        <v>963</v>
      </c>
      <c r="G149" t="s">
        <v>942</v>
      </c>
      <c r="H149">
        <v>1</v>
      </c>
      <c r="I149">
        <v>274.16000000000003</v>
      </c>
      <c r="J149">
        <v>0.1</v>
      </c>
      <c r="K149" s="3">
        <v>27.415999999999997</v>
      </c>
      <c r="L149">
        <v>246.74400000000003</v>
      </c>
      <c r="M149">
        <v>56.354000000000042</v>
      </c>
      <c r="N149" t="str">
        <f>"P. "&amp;(Sales__tbl[[#This Row],[product_id]]&amp;"."&amp;TEXT(Sales__tbl[[#This Row],[selling_price]],"0.00"))</f>
        <v>P. P.id08.274.16</v>
      </c>
    </row>
    <row r="150" spans="1:14" x14ac:dyDescent="0.25">
      <c r="A150">
        <v>149</v>
      </c>
      <c r="B150" s="9" t="str">
        <f>TEXT(Sales__tbl[[#This Row],[date]],"MM")</f>
        <v>07</v>
      </c>
      <c r="C150" s="13">
        <v>45117</v>
      </c>
      <c r="D150" t="str">
        <f>_xlfn.XLOOKUP(Sales__tbl[[#This Row],[customer_id]],customer_tbl[customer_id],customer_tbl[Branch_id],"Not found")</f>
        <v>N01</v>
      </c>
      <c r="E150" t="s">
        <v>1016</v>
      </c>
      <c r="F150" t="s">
        <v>962</v>
      </c>
      <c r="G150" t="s">
        <v>941</v>
      </c>
      <c r="H150">
        <v>1</v>
      </c>
      <c r="I150">
        <v>259.11</v>
      </c>
      <c r="J150">
        <v>0.1</v>
      </c>
      <c r="K150" s="3">
        <v>25.911000000000001</v>
      </c>
      <c r="L150">
        <v>233.19900000000001</v>
      </c>
      <c r="M150">
        <v>59.299000000000007</v>
      </c>
      <c r="N150" t="str">
        <f>"P. "&amp;(Sales__tbl[[#This Row],[product_id]]&amp;"."&amp;TEXT(Sales__tbl[[#This Row],[selling_price]],"0.00"))</f>
        <v>P. P.id07.259.11</v>
      </c>
    </row>
    <row r="151" spans="1:14" x14ac:dyDescent="0.25">
      <c r="A151">
        <v>150</v>
      </c>
      <c r="B151" s="9" t="str">
        <f>TEXT(Sales__tbl[[#This Row],[date]],"MM")</f>
        <v>07</v>
      </c>
      <c r="C151" s="13">
        <v>45118</v>
      </c>
      <c r="D151" t="str">
        <f>_xlfn.XLOOKUP(Sales__tbl[[#This Row],[customer_id]],customer_tbl[customer_id],customer_tbl[Branch_id],"Not found")</f>
        <v>E02</v>
      </c>
      <c r="E151" t="s">
        <v>1126</v>
      </c>
      <c r="F151" t="s">
        <v>967</v>
      </c>
      <c r="G151" t="s">
        <v>872</v>
      </c>
      <c r="H151">
        <v>1</v>
      </c>
      <c r="I151">
        <v>91.73</v>
      </c>
      <c r="J151">
        <v>0</v>
      </c>
      <c r="K151" s="3">
        <v>0</v>
      </c>
      <c r="L151">
        <v>91.73</v>
      </c>
      <c r="M151">
        <v>15.290000000000006</v>
      </c>
      <c r="N151" t="str">
        <f>"P. "&amp;(Sales__tbl[[#This Row],[product_id]]&amp;"."&amp;TEXT(Sales__tbl[[#This Row],[selling_price]],"0.00"))</f>
        <v>P. P.id12.91.73</v>
      </c>
    </row>
    <row r="152" spans="1:14" x14ac:dyDescent="0.25">
      <c r="A152">
        <v>151</v>
      </c>
      <c r="B152" s="9" t="str">
        <f>TEXT(Sales__tbl[[#This Row],[date]],"MM")</f>
        <v>07</v>
      </c>
      <c r="C152" s="13">
        <v>45119</v>
      </c>
      <c r="D152" t="str">
        <f>_xlfn.XLOOKUP(Sales__tbl[[#This Row],[customer_id]],customer_tbl[customer_id],customer_tbl[Branch_id],"Not found")</f>
        <v>S02</v>
      </c>
      <c r="E152" t="s">
        <v>1073</v>
      </c>
      <c r="F152" t="s">
        <v>959</v>
      </c>
      <c r="G152" t="s">
        <v>837</v>
      </c>
      <c r="H152">
        <v>1</v>
      </c>
      <c r="I152">
        <v>11.53</v>
      </c>
      <c r="J152">
        <v>0</v>
      </c>
      <c r="K152" s="3">
        <v>0</v>
      </c>
      <c r="L152">
        <v>11.53</v>
      </c>
      <c r="M152">
        <v>2.5199999999999996</v>
      </c>
      <c r="N152" t="str">
        <f>"P. "&amp;(Sales__tbl[[#This Row],[product_id]]&amp;"."&amp;TEXT(Sales__tbl[[#This Row],[selling_price]],"0.00"))</f>
        <v>P. P.id04.11.53</v>
      </c>
    </row>
    <row r="153" spans="1:14" x14ac:dyDescent="0.25">
      <c r="A153">
        <v>152</v>
      </c>
      <c r="B153" s="9" t="str">
        <f>TEXT(Sales__tbl[[#This Row],[date]],"MM")</f>
        <v>07</v>
      </c>
      <c r="C153" s="13">
        <v>45120</v>
      </c>
      <c r="D153" t="str">
        <f>_xlfn.XLOOKUP(Sales__tbl[[#This Row],[customer_id]],customer_tbl[customer_id],customer_tbl[Branch_id],"Not found")</f>
        <v>C01</v>
      </c>
      <c r="E153" t="s">
        <v>1127</v>
      </c>
      <c r="F153" t="s">
        <v>961</v>
      </c>
      <c r="G153" t="s">
        <v>940</v>
      </c>
      <c r="H153">
        <v>1</v>
      </c>
      <c r="I153">
        <v>66.790000000000006</v>
      </c>
      <c r="J153">
        <v>0</v>
      </c>
      <c r="K153" s="3">
        <v>0</v>
      </c>
      <c r="L153">
        <v>66.790000000000006</v>
      </c>
      <c r="M153">
        <v>22.850000000000009</v>
      </c>
      <c r="N153" t="str">
        <f>"P. "&amp;(Sales__tbl[[#This Row],[product_id]]&amp;"."&amp;TEXT(Sales__tbl[[#This Row],[selling_price]],"0.00"))</f>
        <v>P. P.id06.66.79</v>
      </c>
    </row>
    <row r="154" spans="1:14" x14ac:dyDescent="0.25">
      <c r="A154">
        <v>153</v>
      </c>
      <c r="B154" s="9" t="str">
        <f>TEXT(Sales__tbl[[#This Row],[date]],"MM")</f>
        <v>07</v>
      </c>
      <c r="C154" s="13">
        <v>45121</v>
      </c>
      <c r="D154" t="str">
        <f>_xlfn.XLOOKUP(Sales__tbl[[#This Row],[customer_id]],customer_tbl[customer_id],customer_tbl[Branch_id],"Not found")</f>
        <v>S02</v>
      </c>
      <c r="E154" t="s">
        <v>1053</v>
      </c>
      <c r="F154" t="s">
        <v>960</v>
      </c>
      <c r="G154" t="s">
        <v>839</v>
      </c>
      <c r="H154">
        <v>2</v>
      </c>
      <c r="I154">
        <v>165.45</v>
      </c>
      <c r="J154">
        <v>0.15</v>
      </c>
      <c r="K154" s="3">
        <v>49.634999999999991</v>
      </c>
      <c r="L154">
        <v>281.26499999999999</v>
      </c>
      <c r="M154">
        <v>34.324999999999989</v>
      </c>
      <c r="N154" t="str">
        <f>"P. "&amp;(Sales__tbl[[#This Row],[product_id]]&amp;"."&amp;TEXT(Sales__tbl[[#This Row],[selling_price]],"0.00"))</f>
        <v>P. P.id05.165.45</v>
      </c>
    </row>
    <row r="155" spans="1:14" x14ac:dyDescent="0.25">
      <c r="A155">
        <v>154</v>
      </c>
      <c r="B155" s="9" t="str">
        <f>TEXT(Sales__tbl[[#This Row],[date]],"MM")</f>
        <v>07</v>
      </c>
      <c r="C155" s="13">
        <v>45122</v>
      </c>
      <c r="D155" t="str">
        <f>_xlfn.XLOOKUP(Sales__tbl[[#This Row],[customer_id]],customer_tbl[customer_id],customer_tbl[Branch_id],"Not found")</f>
        <v>C02</v>
      </c>
      <c r="E155" t="s">
        <v>1058</v>
      </c>
      <c r="F155" t="s">
        <v>957</v>
      </c>
      <c r="G155" t="s">
        <v>833</v>
      </c>
      <c r="H155">
        <v>1</v>
      </c>
      <c r="I155">
        <v>55.26</v>
      </c>
      <c r="J155">
        <v>0</v>
      </c>
      <c r="K155" s="3">
        <v>0</v>
      </c>
      <c r="L155">
        <v>55.26</v>
      </c>
      <c r="M155">
        <v>19.839999999999996</v>
      </c>
      <c r="N155" t="str">
        <f>"P. "&amp;(Sales__tbl[[#This Row],[product_id]]&amp;"."&amp;TEXT(Sales__tbl[[#This Row],[selling_price]],"0.00"))</f>
        <v>P. P.id02.55.26</v>
      </c>
    </row>
    <row r="156" spans="1:14" x14ac:dyDescent="0.25">
      <c r="A156">
        <v>155</v>
      </c>
      <c r="B156" s="9" t="str">
        <f>TEXT(Sales__tbl[[#This Row],[date]],"MM")</f>
        <v>07</v>
      </c>
      <c r="C156" s="13">
        <v>45123</v>
      </c>
      <c r="D156" t="str">
        <f>_xlfn.XLOOKUP(Sales__tbl[[#This Row],[customer_id]],customer_tbl[customer_id],customer_tbl[Branch_id],"Not found")</f>
        <v>N01</v>
      </c>
      <c r="E156" t="s">
        <v>1052</v>
      </c>
      <c r="F156" t="s">
        <v>957</v>
      </c>
      <c r="G156" t="s">
        <v>833</v>
      </c>
      <c r="H156">
        <v>1</v>
      </c>
      <c r="I156">
        <v>55.26</v>
      </c>
      <c r="J156">
        <v>0</v>
      </c>
      <c r="K156" s="3">
        <v>0</v>
      </c>
      <c r="L156">
        <v>55.26</v>
      </c>
      <c r="M156">
        <v>19.839999999999996</v>
      </c>
      <c r="N156" t="str">
        <f>"P. "&amp;(Sales__tbl[[#This Row],[product_id]]&amp;"."&amp;TEXT(Sales__tbl[[#This Row],[selling_price]],"0.00"))</f>
        <v>P. P.id02.55.26</v>
      </c>
    </row>
    <row r="157" spans="1:14" x14ac:dyDescent="0.25">
      <c r="A157">
        <v>156</v>
      </c>
      <c r="B157" s="9" t="str">
        <f>TEXT(Sales__tbl[[#This Row],[date]],"MM")</f>
        <v>07</v>
      </c>
      <c r="C157" s="13">
        <v>45124</v>
      </c>
      <c r="D157" t="str">
        <f>_xlfn.XLOOKUP(Sales__tbl[[#This Row],[customer_id]],customer_tbl[customer_id],customer_tbl[Branch_id],"Not found")</f>
        <v>E02</v>
      </c>
      <c r="E157" t="s">
        <v>1128</v>
      </c>
      <c r="F157" t="s">
        <v>963</v>
      </c>
      <c r="G157" t="s">
        <v>942</v>
      </c>
      <c r="H157">
        <v>1</v>
      </c>
      <c r="I157">
        <v>274.16000000000003</v>
      </c>
      <c r="J157">
        <v>0.1</v>
      </c>
      <c r="K157" s="3">
        <v>27.415999999999997</v>
      </c>
      <c r="L157">
        <v>246.74400000000003</v>
      </c>
      <c r="M157">
        <v>56.354000000000042</v>
      </c>
      <c r="N157" t="str">
        <f>"P. "&amp;(Sales__tbl[[#This Row],[product_id]]&amp;"."&amp;TEXT(Sales__tbl[[#This Row],[selling_price]],"0.00"))</f>
        <v>P. P.id08.274.16</v>
      </c>
    </row>
    <row r="158" spans="1:14" x14ac:dyDescent="0.25">
      <c r="A158">
        <v>157</v>
      </c>
      <c r="B158" s="9" t="str">
        <f>TEXT(Sales__tbl[[#This Row],[date]],"MM")</f>
        <v>07</v>
      </c>
      <c r="C158" s="13">
        <v>45125</v>
      </c>
      <c r="D158" t="str">
        <f>_xlfn.XLOOKUP(Sales__tbl[[#This Row],[customer_id]],customer_tbl[customer_id],customer_tbl[Branch_id],"Not found")</f>
        <v>N02</v>
      </c>
      <c r="E158" t="s">
        <v>1015</v>
      </c>
      <c r="F158" t="s">
        <v>967</v>
      </c>
      <c r="G158" t="s">
        <v>872</v>
      </c>
      <c r="H158">
        <v>2</v>
      </c>
      <c r="I158">
        <v>91.73</v>
      </c>
      <c r="J158">
        <v>0.1</v>
      </c>
      <c r="K158" s="3">
        <v>18.346000000000004</v>
      </c>
      <c r="L158">
        <v>165.114</v>
      </c>
      <c r="M158">
        <v>12.234000000000009</v>
      </c>
      <c r="N158" t="str">
        <f>"P. "&amp;(Sales__tbl[[#This Row],[product_id]]&amp;"."&amp;TEXT(Sales__tbl[[#This Row],[selling_price]],"0.00"))</f>
        <v>P. P.id12.91.73</v>
      </c>
    </row>
    <row r="159" spans="1:14" x14ac:dyDescent="0.25">
      <c r="A159">
        <v>158</v>
      </c>
      <c r="B159" s="9" t="str">
        <f>TEXT(Sales__tbl[[#This Row],[date]],"MM")</f>
        <v>07</v>
      </c>
      <c r="C159" s="13">
        <v>45126</v>
      </c>
      <c r="D159" t="str">
        <f>_xlfn.XLOOKUP(Sales__tbl[[#This Row],[customer_id]],customer_tbl[customer_id],customer_tbl[Branch_id],"Not found")</f>
        <v>E02</v>
      </c>
      <c r="E159" t="s">
        <v>1126</v>
      </c>
      <c r="F159" t="s">
        <v>967</v>
      </c>
      <c r="G159" t="s">
        <v>872</v>
      </c>
      <c r="H159">
        <v>1</v>
      </c>
      <c r="I159">
        <v>91.73</v>
      </c>
      <c r="J159">
        <v>0</v>
      </c>
      <c r="K159" s="3">
        <v>0</v>
      </c>
      <c r="L159">
        <v>91.73</v>
      </c>
      <c r="M159">
        <v>15.290000000000006</v>
      </c>
      <c r="N159" t="str">
        <f>"P. "&amp;(Sales__tbl[[#This Row],[product_id]]&amp;"."&amp;TEXT(Sales__tbl[[#This Row],[selling_price]],"0.00"))</f>
        <v>P. P.id12.91.73</v>
      </c>
    </row>
    <row r="160" spans="1:14" x14ac:dyDescent="0.25">
      <c r="A160">
        <v>159</v>
      </c>
      <c r="B160" s="9" t="str">
        <f>TEXT(Sales__tbl[[#This Row],[date]],"MM")</f>
        <v>07</v>
      </c>
      <c r="C160" s="13">
        <v>45127</v>
      </c>
      <c r="D160" t="str">
        <f>_xlfn.XLOOKUP(Sales__tbl[[#This Row],[customer_id]],customer_tbl[customer_id],customer_tbl[Branch_id],"Not found")</f>
        <v>C02</v>
      </c>
      <c r="E160" t="s">
        <v>1000</v>
      </c>
      <c r="F160" t="s">
        <v>961</v>
      </c>
      <c r="G160" t="s">
        <v>940</v>
      </c>
      <c r="H160">
        <v>2</v>
      </c>
      <c r="I160">
        <v>66.790000000000006</v>
      </c>
      <c r="J160">
        <v>0</v>
      </c>
      <c r="K160" s="3">
        <v>0</v>
      </c>
      <c r="L160">
        <v>133.58000000000001</v>
      </c>
      <c r="M160">
        <v>45.700000000000017</v>
      </c>
      <c r="N160" t="str">
        <f>"P. "&amp;(Sales__tbl[[#This Row],[product_id]]&amp;"."&amp;TEXT(Sales__tbl[[#This Row],[selling_price]],"0.00"))</f>
        <v>P. P.id06.66.79</v>
      </c>
    </row>
    <row r="161" spans="1:14" x14ac:dyDescent="0.25">
      <c r="A161">
        <v>160</v>
      </c>
      <c r="B161" s="9" t="str">
        <f>TEXT(Sales__tbl[[#This Row],[date]],"MM")</f>
        <v>07</v>
      </c>
      <c r="C161" s="13">
        <v>45128</v>
      </c>
      <c r="D161" t="str">
        <f>_xlfn.XLOOKUP(Sales__tbl[[#This Row],[customer_id]],customer_tbl[customer_id],customer_tbl[Branch_id],"Not found")</f>
        <v>N01</v>
      </c>
      <c r="E161" t="s">
        <v>1069</v>
      </c>
      <c r="F161" t="s">
        <v>964</v>
      </c>
      <c r="G161" t="s">
        <v>943</v>
      </c>
      <c r="H161">
        <v>4</v>
      </c>
      <c r="I161">
        <v>190.58</v>
      </c>
      <c r="J161">
        <v>0.2</v>
      </c>
      <c r="K161" s="3">
        <v>152.46399999999994</v>
      </c>
      <c r="L161">
        <v>609.85600000000011</v>
      </c>
      <c r="M161">
        <v>18.896000000000072</v>
      </c>
      <c r="N161" t="str">
        <f>"P. "&amp;(Sales__tbl[[#This Row],[product_id]]&amp;"."&amp;TEXT(Sales__tbl[[#This Row],[selling_price]],"0.00"))</f>
        <v>P. P.id09.190.58</v>
      </c>
    </row>
    <row r="162" spans="1:14" x14ac:dyDescent="0.25">
      <c r="A162">
        <v>161</v>
      </c>
      <c r="B162" s="9" t="str">
        <f>TEXT(Sales__tbl[[#This Row],[date]],"MM")</f>
        <v>07</v>
      </c>
      <c r="C162" s="13">
        <v>45129</v>
      </c>
      <c r="D162" t="str">
        <f>_xlfn.XLOOKUP(Sales__tbl[[#This Row],[customer_id]],customer_tbl[customer_id],customer_tbl[Branch_id],"Not found")</f>
        <v>W01</v>
      </c>
      <c r="E162" t="s">
        <v>1121</v>
      </c>
      <c r="F162" t="s">
        <v>964</v>
      </c>
      <c r="G162" t="s">
        <v>943</v>
      </c>
      <c r="H162">
        <v>1</v>
      </c>
      <c r="I162">
        <v>190.58</v>
      </c>
      <c r="J162">
        <v>0.1</v>
      </c>
      <c r="K162" s="3">
        <v>19.057999999999993</v>
      </c>
      <c r="L162">
        <v>171.52200000000002</v>
      </c>
      <c r="M162">
        <v>23.782000000000011</v>
      </c>
      <c r="N162" t="str">
        <f>"P. "&amp;(Sales__tbl[[#This Row],[product_id]]&amp;"."&amp;TEXT(Sales__tbl[[#This Row],[selling_price]],"0.00"))</f>
        <v>P. P.id09.190.58</v>
      </c>
    </row>
    <row r="163" spans="1:14" x14ac:dyDescent="0.25">
      <c r="A163">
        <v>162</v>
      </c>
      <c r="B163" s="9" t="str">
        <f>TEXT(Sales__tbl[[#This Row],[date]],"MM")</f>
        <v>07</v>
      </c>
      <c r="C163" s="13">
        <v>45130</v>
      </c>
      <c r="D163" t="str">
        <f>_xlfn.XLOOKUP(Sales__tbl[[#This Row],[customer_id]],customer_tbl[customer_id],customer_tbl[Branch_id],"Not found")</f>
        <v>N01</v>
      </c>
      <c r="E163" t="s">
        <v>1070</v>
      </c>
      <c r="F163" t="s">
        <v>963</v>
      </c>
      <c r="G163" t="s">
        <v>942</v>
      </c>
      <c r="H163">
        <v>1</v>
      </c>
      <c r="I163">
        <v>274.16000000000003</v>
      </c>
      <c r="J163">
        <v>0.1</v>
      </c>
      <c r="K163" s="3">
        <v>27.415999999999997</v>
      </c>
      <c r="L163">
        <v>246.74400000000003</v>
      </c>
      <c r="M163">
        <v>56.354000000000042</v>
      </c>
      <c r="N163" t="str">
        <f>"P. "&amp;(Sales__tbl[[#This Row],[product_id]]&amp;"."&amp;TEXT(Sales__tbl[[#This Row],[selling_price]],"0.00"))</f>
        <v>P. P.id08.274.16</v>
      </c>
    </row>
    <row r="164" spans="1:14" x14ac:dyDescent="0.25">
      <c r="A164">
        <v>163</v>
      </c>
      <c r="B164" s="9" t="str">
        <f>TEXT(Sales__tbl[[#This Row],[date]],"MM")</f>
        <v>07</v>
      </c>
      <c r="C164" s="13">
        <v>45131</v>
      </c>
      <c r="D164" t="str">
        <f>_xlfn.XLOOKUP(Sales__tbl[[#This Row],[customer_id]],customer_tbl[customer_id],customer_tbl[Branch_id],"Not found")</f>
        <v>E01</v>
      </c>
      <c r="E164" t="s">
        <v>1035</v>
      </c>
      <c r="F164" t="s">
        <v>960</v>
      </c>
      <c r="G164" t="s">
        <v>839</v>
      </c>
      <c r="H164">
        <v>1</v>
      </c>
      <c r="I164">
        <v>165.45</v>
      </c>
      <c r="J164">
        <v>0.1</v>
      </c>
      <c r="K164" s="3">
        <v>16.544999999999987</v>
      </c>
      <c r="L164">
        <v>148.905</v>
      </c>
      <c r="M164">
        <v>25.435000000000002</v>
      </c>
      <c r="N164" t="str">
        <f>"P. "&amp;(Sales__tbl[[#This Row],[product_id]]&amp;"."&amp;TEXT(Sales__tbl[[#This Row],[selling_price]],"0.00"))</f>
        <v>P. P.id05.165.45</v>
      </c>
    </row>
    <row r="165" spans="1:14" x14ac:dyDescent="0.25">
      <c r="A165">
        <v>164</v>
      </c>
      <c r="B165" s="9" t="str">
        <f>TEXT(Sales__tbl[[#This Row],[date]],"MM")</f>
        <v>07</v>
      </c>
      <c r="C165" s="13">
        <v>45132</v>
      </c>
      <c r="D165" t="str">
        <f>_xlfn.XLOOKUP(Sales__tbl[[#This Row],[customer_id]],customer_tbl[customer_id],customer_tbl[Branch_id],"Not found")</f>
        <v>C01</v>
      </c>
      <c r="E165" t="s">
        <v>996</v>
      </c>
      <c r="F165" t="s">
        <v>960</v>
      </c>
      <c r="G165" t="s">
        <v>839</v>
      </c>
      <c r="H165">
        <v>2</v>
      </c>
      <c r="I165">
        <v>165.45</v>
      </c>
      <c r="J165">
        <v>0.15</v>
      </c>
      <c r="K165" s="3">
        <v>49.634999999999991</v>
      </c>
      <c r="L165">
        <v>281.26499999999999</v>
      </c>
      <c r="M165">
        <v>34.324999999999989</v>
      </c>
      <c r="N165" t="str">
        <f>"P. "&amp;(Sales__tbl[[#This Row],[product_id]]&amp;"."&amp;TEXT(Sales__tbl[[#This Row],[selling_price]],"0.00"))</f>
        <v>P. P.id05.165.45</v>
      </c>
    </row>
    <row r="166" spans="1:14" x14ac:dyDescent="0.25">
      <c r="A166">
        <v>165</v>
      </c>
      <c r="B166" s="9" t="str">
        <f>TEXT(Sales__tbl[[#This Row],[date]],"MM")</f>
        <v>07</v>
      </c>
      <c r="C166" s="13">
        <v>45133</v>
      </c>
      <c r="D166" t="str">
        <f>_xlfn.XLOOKUP(Sales__tbl[[#This Row],[customer_id]],customer_tbl[customer_id],customer_tbl[Branch_id],"Not found")</f>
        <v>C01</v>
      </c>
      <c r="E166" t="s">
        <v>1129</v>
      </c>
      <c r="F166" t="s">
        <v>960</v>
      </c>
      <c r="G166" t="s">
        <v>839</v>
      </c>
      <c r="H166">
        <v>1</v>
      </c>
      <c r="I166">
        <v>165.45</v>
      </c>
      <c r="J166">
        <v>0.1</v>
      </c>
      <c r="K166" s="3">
        <v>16.544999999999987</v>
      </c>
      <c r="L166">
        <v>148.905</v>
      </c>
      <c r="M166">
        <v>25.435000000000002</v>
      </c>
      <c r="N166" t="str">
        <f>"P. "&amp;(Sales__tbl[[#This Row],[product_id]]&amp;"."&amp;TEXT(Sales__tbl[[#This Row],[selling_price]],"0.00"))</f>
        <v>P. P.id05.165.45</v>
      </c>
    </row>
    <row r="167" spans="1:14" x14ac:dyDescent="0.25">
      <c r="A167">
        <v>166</v>
      </c>
      <c r="B167" s="9" t="str">
        <f>TEXT(Sales__tbl[[#This Row],[date]],"MM")</f>
        <v>07</v>
      </c>
      <c r="C167" s="13">
        <v>45134</v>
      </c>
      <c r="D167" t="str">
        <f>_xlfn.XLOOKUP(Sales__tbl[[#This Row],[customer_id]],customer_tbl[customer_id],customer_tbl[Branch_id],"Not found")</f>
        <v>S01</v>
      </c>
      <c r="E167" t="s">
        <v>1023</v>
      </c>
      <c r="F167" t="s">
        <v>957</v>
      </c>
      <c r="G167" t="s">
        <v>833</v>
      </c>
      <c r="H167">
        <v>1</v>
      </c>
      <c r="I167">
        <v>55.26</v>
      </c>
      <c r="J167">
        <v>0</v>
      </c>
      <c r="K167" s="3">
        <v>0</v>
      </c>
      <c r="L167">
        <v>55.26</v>
      </c>
      <c r="M167">
        <v>19.839999999999996</v>
      </c>
      <c r="N167" t="str">
        <f>"P. "&amp;(Sales__tbl[[#This Row],[product_id]]&amp;"."&amp;TEXT(Sales__tbl[[#This Row],[selling_price]],"0.00"))</f>
        <v>P. P.id02.55.26</v>
      </c>
    </row>
    <row r="168" spans="1:14" x14ac:dyDescent="0.25">
      <c r="A168">
        <v>167</v>
      </c>
      <c r="B168" s="9" t="str">
        <f>TEXT(Sales__tbl[[#This Row],[date]],"MM")</f>
        <v>07</v>
      </c>
      <c r="C168" s="13">
        <v>45135</v>
      </c>
      <c r="D168" t="str">
        <f>_xlfn.XLOOKUP(Sales__tbl[[#This Row],[customer_id]],customer_tbl[customer_id],customer_tbl[Branch_id],"Not found")</f>
        <v>S02</v>
      </c>
      <c r="E168" t="s">
        <v>1120</v>
      </c>
      <c r="F168" t="s">
        <v>957</v>
      </c>
      <c r="G168" t="s">
        <v>833</v>
      </c>
      <c r="H168">
        <v>1</v>
      </c>
      <c r="I168">
        <v>55.26</v>
      </c>
      <c r="J168">
        <v>0</v>
      </c>
      <c r="K168" s="3">
        <v>0</v>
      </c>
      <c r="L168">
        <v>55.26</v>
      </c>
      <c r="M168">
        <v>19.839999999999996</v>
      </c>
      <c r="N168" t="str">
        <f>"P. "&amp;(Sales__tbl[[#This Row],[product_id]]&amp;"."&amp;TEXT(Sales__tbl[[#This Row],[selling_price]],"0.00"))</f>
        <v>P. P.id02.55.26</v>
      </c>
    </row>
    <row r="169" spans="1:14" x14ac:dyDescent="0.25">
      <c r="A169">
        <v>168</v>
      </c>
      <c r="B169" s="9" t="str">
        <f>TEXT(Sales__tbl[[#This Row],[date]],"MM")</f>
        <v>07</v>
      </c>
      <c r="C169" s="13">
        <v>45136</v>
      </c>
      <c r="D169" t="str">
        <f>_xlfn.XLOOKUP(Sales__tbl[[#This Row],[customer_id]],customer_tbl[customer_id],customer_tbl[Branch_id],"Not found")</f>
        <v>W01</v>
      </c>
      <c r="E169" t="s">
        <v>1082</v>
      </c>
      <c r="F169" t="s">
        <v>966</v>
      </c>
      <c r="G169" t="s">
        <v>851</v>
      </c>
      <c r="H169">
        <v>1</v>
      </c>
      <c r="I169">
        <v>196.75</v>
      </c>
      <c r="J169">
        <v>0.1</v>
      </c>
      <c r="K169" s="3">
        <v>19.674999999999983</v>
      </c>
      <c r="L169">
        <v>177.07500000000002</v>
      </c>
      <c r="M169">
        <v>20.925000000000011</v>
      </c>
      <c r="N169" t="str">
        <f>"P. "&amp;(Sales__tbl[[#This Row],[product_id]]&amp;"."&amp;TEXT(Sales__tbl[[#This Row],[selling_price]],"0.00"))</f>
        <v>P. P.id11.196.75</v>
      </c>
    </row>
    <row r="170" spans="1:14" x14ac:dyDescent="0.25">
      <c r="A170">
        <v>169</v>
      </c>
      <c r="B170" s="9" t="str">
        <f>TEXT(Sales__tbl[[#This Row],[date]],"MM")</f>
        <v>07</v>
      </c>
      <c r="C170" s="13">
        <v>45137</v>
      </c>
      <c r="D170" t="str">
        <f>_xlfn.XLOOKUP(Sales__tbl[[#This Row],[customer_id]],customer_tbl[customer_id],customer_tbl[Branch_id],"Not found")</f>
        <v>N02</v>
      </c>
      <c r="E170" t="s">
        <v>1098</v>
      </c>
      <c r="F170" t="s">
        <v>961</v>
      </c>
      <c r="G170" t="s">
        <v>940</v>
      </c>
      <c r="H170">
        <v>1</v>
      </c>
      <c r="I170">
        <v>66.790000000000006</v>
      </c>
      <c r="J170">
        <v>0</v>
      </c>
      <c r="K170" s="3">
        <v>0</v>
      </c>
      <c r="L170">
        <v>66.790000000000006</v>
      </c>
      <c r="M170">
        <v>22.850000000000009</v>
      </c>
      <c r="N170" t="str">
        <f>"P. "&amp;(Sales__tbl[[#This Row],[product_id]]&amp;"."&amp;TEXT(Sales__tbl[[#This Row],[selling_price]],"0.00"))</f>
        <v>P. P.id06.66.79</v>
      </c>
    </row>
    <row r="171" spans="1:14" x14ac:dyDescent="0.25">
      <c r="A171">
        <v>170</v>
      </c>
      <c r="B171" s="9" t="str">
        <f>TEXT(Sales__tbl[[#This Row],[date]],"MM")</f>
        <v>07</v>
      </c>
      <c r="C171" s="13">
        <v>45138</v>
      </c>
      <c r="D171" t="str">
        <f>_xlfn.XLOOKUP(Sales__tbl[[#This Row],[customer_id]],customer_tbl[customer_id],customer_tbl[Branch_id],"Not found")</f>
        <v>C01</v>
      </c>
      <c r="E171" t="s">
        <v>1130</v>
      </c>
      <c r="F171" t="s">
        <v>958</v>
      </c>
      <c r="G171" t="s">
        <v>939</v>
      </c>
      <c r="H171">
        <v>2</v>
      </c>
      <c r="I171">
        <v>90.53</v>
      </c>
      <c r="J171">
        <v>0.1</v>
      </c>
      <c r="K171" s="3">
        <v>18.105999999999995</v>
      </c>
      <c r="L171">
        <v>162.95400000000001</v>
      </c>
      <c r="M171">
        <v>6.8739999999999952</v>
      </c>
      <c r="N171" t="str">
        <f>"P. "&amp;(Sales__tbl[[#This Row],[product_id]]&amp;"."&amp;TEXT(Sales__tbl[[#This Row],[selling_price]],"0.00"))</f>
        <v>P. P.id03.90.53</v>
      </c>
    </row>
    <row r="172" spans="1:14" x14ac:dyDescent="0.25">
      <c r="A172">
        <v>171</v>
      </c>
      <c r="B172" s="9" t="str">
        <f>TEXT(Sales__tbl[[#This Row],[date]],"MM")</f>
        <v>08</v>
      </c>
      <c r="C172" s="13">
        <v>45139</v>
      </c>
      <c r="D172" t="str">
        <f>_xlfn.XLOOKUP(Sales__tbl[[#This Row],[customer_id]],customer_tbl[customer_id],customer_tbl[Branch_id],"Not found")</f>
        <v>W01</v>
      </c>
      <c r="E172" t="s">
        <v>1049</v>
      </c>
      <c r="F172" t="s">
        <v>958</v>
      </c>
      <c r="G172" t="s">
        <v>939</v>
      </c>
      <c r="H172">
        <v>1</v>
      </c>
      <c r="I172">
        <v>90.53</v>
      </c>
      <c r="J172">
        <v>0</v>
      </c>
      <c r="K172" s="3">
        <v>0</v>
      </c>
      <c r="L172">
        <v>90.53</v>
      </c>
      <c r="M172">
        <v>12.489999999999995</v>
      </c>
      <c r="N172" t="str">
        <f>"P. "&amp;(Sales__tbl[[#This Row],[product_id]]&amp;"."&amp;TEXT(Sales__tbl[[#This Row],[selling_price]],"0.00"))</f>
        <v>P. P.id03.90.53</v>
      </c>
    </row>
    <row r="173" spans="1:14" x14ac:dyDescent="0.25">
      <c r="A173">
        <v>172</v>
      </c>
      <c r="B173" s="9" t="str">
        <f>TEXT(Sales__tbl[[#This Row],[date]],"MM")</f>
        <v>08</v>
      </c>
      <c r="C173" s="13">
        <v>45140</v>
      </c>
      <c r="D173" t="str">
        <f>_xlfn.XLOOKUP(Sales__tbl[[#This Row],[customer_id]],customer_tbl[customer_id],customer_tbl[Branch_id],"Not found")</f>
        <v>N01</v>
      </c>
      <c r="E173" t="s">
        <v>1131</v>
      </c>
      <c r="F173" t="s">
        <v>962</v>
      </c>
      <c r="G173" t="s">
        <v>941</v>
      </c>
      <c r="H173">
        <v>1</v>
      </c>
      <c r="I173">
        <v>259.11</v>
      </c>
      <c r="J173">
        <v>0.1</v>
      </c>
      <c r="K173" s="3">
        <v>25.911000000000001</v>
      </c>
      <c r="L173">
        <v>233.19900000000001</v>
      </c>
      <c r="M173">
        <v>59.299000000000007</v>
      </c>
      <c r="N173" t="str">
        <f>"P. "&amp;(Sales__tbl[[#This Row],[product_id]]&amp;"."&amp;TEXT(Sales__tbl[[#This Row],[selling_price]],"0.00"))</f>
        <v>P. P.id07.259.11</v>
      </c>
    </row>
    <row r="174" spans="1:14" x14ac:dyDescent="0.25">
      <c r="A174">
        <v>173</v>
      </c>
      <c r="B174" s="9" t="str">
        <f>TEXT(Sales__tbl[[#This Row],[date]],"MM")</f>
        <v>08</v>
      </c>
      <c r="C174" s="13">
        <v>45141</v>
      </c>
      <c r="D174" t="str">
        <f>_xlfn.XLOOKUP(Sales__tbl[[#This Row],[customer_id]],customer_tbl[customer_id],customer_tbl[Branch_id],"Not found")</f>
        <v>S02</v>
      </c>
      <c r="E174" t="s">
        <v>1112</v>
      </c>
      <c r="F174" t="s">
        <v>961</v>
      </c>
      <c r="G174" t="s">
        <v>940</v>
      </c>
      <c r="H174">
        <v>1</v>
      </c>
      <c r="I174">
        <v>66.790000000000006</v>
      </c>
      <c r="J174">
        <v>0</v>
      </c>
      <c r="K174" s="3">
        <v>0</v>
      </c>
      <c r="L174">
        <v>66.790000000000006</v>
      </c>
      <c r="M174">
        <v>22.850000000000009</v>
      </c>
      <c r="N174" t="str">
        <f>"P. "&amp;(Sales__tbl[[#This Row],[product_id]]&amp;"."&amp;TEXT(Sales__tbl[[#This Row],[selling_price]],"0.00"))</f>
        <v>P. P.id06.66.79</v>
      </c>
    </row>
    <row r="175" spans="1:14" x14ac:dyDescent="0.25">
      <c r="A175">
        <v>174</v>
      </c>
      <c r="B175" s="9" t="str">
        <f>TEXT(Sales__tbl[[#This Row],[date]],"MM")</f>
        <v>08</v>
      </c>
      <c r="C175" s="13">
        <v>45142</v>
      </c>
      <c r="D175" t="str">
        <f>_xlfn.XLOOKUP(Sales__tbl[[#This Row],[customer_id]],customer_tbl[customer_id],customer_tbl[Branch_id],"Not found")</f>
        <v>S01</v>
      </c>
      <c r="E175" t="s">
        <v>1072</v>
      </c>
      <c r="F175" t="s">
        <v>959</v>
      </c>
      <c r="G175" t="s">
        <v>837</v>
      </c>
      <c r="H175">
        <v>1</v>
      </c>
      <c r="I175">
        <v>11.53</v>
      </c>
      <c r="J175">
        <v>0</v>
      </c>
      <c r="K175" s="3">
        <v>0</v>
      </c>
      <c r="L175">
        <v>11.53</v>
      </c>
      <c r="M175">
        <v>2.5199999999999996</v>
      </c>
      <c r="N175" t="str">
        <f>"P. "&amp;(Sales__tbl[[#This Row],[product_id]]&amp;"."&amp;TEXT(Sales__tbl[[#This Row],[selling_price]],"0.00"))</f>
        <v>P. P.id04.11.53</v>
      </c>
    </row>
    <row r="176" spans="1:14" x14ac:dyDescent="0.25">
      <c r="A176">
        <v>175</v>
      </c>
      <c r="B176" s="9" t="str">
        <f>TEXT(Sales__tbl[[#This Row],[date]],"MM")</f>
        <v>08</v>
      </c>
      <c r="C176" s="13">
        <v>45143</v>
      </c>
      <c r="D176" t="str">
        <f>_xlfn.XLOOKUP(Sales__tbl[[#This Row],[customer_id]],customer_tbl[customer_id],customer_tbl[Branch_id],"Not found")</f>
        <v>N02</v>
      </c>
      <c r="E176" t="s">
        <v>1108</v>
      </c>
      <c r="F176" t="s">
        <v>965</v>
      </c>
      <c r="G176" t="s">
        <v>847</v>
      </c>
      <c r="H176">
        <v>2</v>
      </c>
      <c r="I176">
        <v>168</v>
      </c>
      <c r="J176">
        <v>0.15</v>
      </c>
      <c r="K176" s="3">
        <v>50.400000000000034</v>
      </c>
      <c r="L176">
        <v>285.59999999999997</v>
      </c>
      <c r="M176">
        <v>42.119999999999976</v>
      </c>
      <c r="N176" t="str">
        <f>"P. "&amp;(Sales__tbl[[#This Row],[product_id]]&amp;"."&amp;TEXT(Sales__tbl[[#This Row],[selling_price]],"0.00"))</f>
        <v>P. P.id10.168.00</v>
      </c>
    </row>
    <row r="177" spans="1:14" x14ac:dyDescent="0.25">
      <c r="A177">
        <v>176</v>
      </c>
      <c r="B177" s="9" t="str">
        <f>TEXT(Sales__tbl[[#This Row],[date]],"MM")</f>
        <v>08</v>
      </c>
      <c r="C177" s="13">
        <v>45144</v>
      </c>
      <c r="D177" t="str">
        <f>_xlfn.XLOOKUP(Sales__tbl[[#This Row],[customer_id]],customer_tbl[customer_id],customer_tbl[Branch_id],"Not found")</f>
        <v>C01</v>
      </c>
      <c r="E177" t="s">
        <v>1037</v>
      </c>
      <c r="F177" t="s">
        <v>957</v>
      </c>
      <c r="G177" t="s">
        <v>833</v>
      </c>
      <c r="H177">
        <v>1</v>
      </c>
      <c r="I177">
        <v>55.26</v>
      </c>
      <c r="J177">
        <v>0</v>
      </c>
      <c r="K177" s="3">
        <v>0</v>
      </c>
      <c r="L177">
        <v>55.26</v>
      </c>
      <c r="M177">
        <v>19.839999999999996</v>
      </c>
      <c r="N177" t="str">
        <f>"P. "&amp;(Sales__tbl[[#This Row],[product_id]]&amp;"."&amp;TEXT(Sales__tbl[[#This Row],[selling_price]],"0.00"))</f>
        <v>P. P.id02.55.26</v>
      </c>
    </row>
    <row r="178" spans="1:14" x14ac:dyDescent="0.25">
      <c r="A178">
        <v>177</v>
      </c>
      <c r="B178" s="9" t="str">
        <f>TEXT(Sales__tbl[[#This Row],[date]],"MM")</f>
        <v>08</v>
      </c>
      <c r="C178" s="13">
        <v>45145</v>
      </c>
      <c r="D178" t="str">
        <f>_xlfn.XLOOKUP(Sales__tbl[[#This Row],[customer_id]],customer_tbl[customer_id],customer_tbl[Branch_id],"Not found")</f>
        <v>N01</v>
      </c>
      <c r="E178" t="s">
        <v>1131</v>
      </c>
      <c r="F178" t="s">
        <v>962</v>
      </c>
      <c r="G178" t="s">
        <v>941</v>
      </c>
      <c r="H178">
        <v>3</v>
      </c>
      <c r="I178">
        <v>259.11</v>
      </c>
      <c r="J178">
        <v>0.2</v>
      </c>
      <c r="K178" s="3">
        <v>155.46600000000001</v>
      </c>
      <c r="L178">
        <v>621.86400000000003</v>
      </c>
      <c r="M178">
        <v>100.16399999999999</v>
      </c>
      <c r="N178" t="str">
        <f>"P. "&amp;(Sales__tbl[[#This Row],[product_id]]&amp;"."&amp;TEXT(Sales__tbl[[#This Row],[selling_price]],"0.00"))</f>
        <v>P. P.id07.259.11</v>
      </c>
    </row>
    <row r="179" spans="1:14" x14ac:dyDescent="0.25">
      <c r="A179">
        <v>178</v>
      </c>
      <c r="B179" s="9" t="str">
        <f>TEXT(Sales__tbl[[#This Row],[date]],"MM")</f>
        <v>08</v>
      </c>
      <c r="C179" s="13">
        <v>45146</v>
      </c>
      <c r="D179" t="str">
        <f>_xlfn.XLOOKUP(Sales__tbl[[#This Row],[customer_id]],customer_tbl[customer_id],customer_tbl[Branch_id],"Not found")</f>
        <v>E01</v>
      </c>
      <c r="E179" t="s">
        <v>986</v>
      </c>
      <c r="F179" t="s">
        <v>967</v>
      </c>
      <c r="G179" t="s">
        <v>872</v>
      </c>
      <c r="H179">
        <v>1</v>
      </c>
      <c r="I179">
        <v>91.73</v>
      </c>
      <c r="J179">
        <v>0</v>
      </c>
      <c r="K179" s="3">
        <v>0</v>
      </c>
      <c r="L179">
        <v>91.73</v>
      </c>
      <c r="M179">
        <v>15.290000000000006</v>
      </c>
      <c r="N179" t="str">
        <f>"P. "&amp;(Sales__tbl[[#This Row],[product_id]]&amp;"."&amp;TEXT(Sales__tbl[[#This Row],[selling_price]],"0.00"))</f>
        <v>P. P.id12.91.73</v>
      </c>
    </row>
    <row r="180" spans="1:14" x14ac:dyDescent="0.25">
      <c r="A180">
        <v>179</v>
      </c>
      <c r="B180" s="9" t="str">
        <f>TEXT(Sales__tbl[[#This Row],[date]],"MM")</f>
        <v>08</v>
      </c>
      <c r="C180" s="13">
        <v>45147</v>
      </c>
      <c r="D180" t="str">
        <f>_xlfn.XLOOKUP(Sales__tbl[[#This Row],[customer_id]],customer_tbl[customer_id],customer_tbl[Branch_id],"Not found")</f>
        <v>S02</v>
      </c>
      <c r="E180" t="s">
        <v>1132</v>
      </c>
      <c r="F180" t="s">
        <v>965</v>
      </c>
      <c r="G180" t="s">
        <v>847</v>
      </c>
      <c r="H180">
        <v>1</v>
      </c>
      <c r="I180">
        <v>168</v>
      </c>
      <c r="J180">
        <v>0.1</v>
      </c>
      <c r="K180" s="3">
        <v>16.799999999999983</v>
      </c>
      <c r="L180">
        <v>151.20000000000002</v>
      </c>
      <c r="M180">
        <v>29.460000000000022</v>
      </c>
      <c r="N180" t="str">
        <f>"P. "&amp;(Sales__tbl[[#This Row],[product_id]]&amp;"."&amp;TEXT(Sales__tbl[[#This Row],[selling_price]],"0.00"))</f>
        <v>P. P.id10.168.00</v>
      </c>
    </row>
    <row r="181" spans="1:14" x14ac:dyDescent="0.25">
      <c r="A181">
        <v>180</v>
      </c>
      <c r="B181" s="9" t="str">
        <f>TEXT(Sales__tbl[[#This Row],[date]],"MM")</f>
        <v>08</v>
      </c>
      <c r="C181" s="13">
        <v>45148</v>
      </c>
      <c r="D181" t="str">
        <f>_xlfn.XLOOKUP(Sales__tbl[[#This Row],[customer_id]],customer_tbl[customer_id],customer_tbl[Branch_id],"Not found")</f>
        <v>E02</v>
      </c>
      <c r="E181" t="s">
        <v>1109</v>
      </c>
      <c r="F181" t="s">
        <v>959</v>
      </c>
      <c r="G181" t="s">
        <v>837</v>
      </c>
      <c r="H181">
        <v>2</v>
      </c>
      <c r="I181">
        <v>11.53</v>
      </c>
      <c r="J181">
        <v>0</v>
      </c>
      <c r="K181" s="3">
        <v>0</v>
      </c>
      <c r="L181">
        <v>23.06</v>
      </c>
      <c r="M181">
        <v>5.0399999999999991</v>
      </c>
      <c r="N181" t="str">
        <f>"P. "&amp;(Sales__tbl[[#This Row],[product_id]]&amp;"."&amp;TEXT(Sales__tbl[[#This Row],[selling_price]],"0.00"))</f>
        <v>P. P.id04.11.53</v>
      </c>
    </row>
    <row r="182" spans="1:14" x14ac:dyDescent="0.25">
      <c r="A182">
        <v>181</v>
      </c>
      <c r="B182" s="9" t="str">
        <f>TEXT(Sales__tbl[[#This Row],[date]],"MM")</f>
        <v>08</v>
      </c>
      <c r="C182" s="13">
        <v>45149</v>
      </c>
      <c r="D182" t="str">
        <f>_xlfn.XLOOKUP(Sales__tbl[[#This Row],[customer_id]],customer_tbl[customer_id],customer_tbl[Branch_id],"Not found")</f>
        <v>C01</v>
      </c>
      <c r="E182" t="s">
        <v>1037</v>
      </c>
      <c r="F182" t="s">
        <v>964</v>
      </c>
      <c r="G182" t="s">
        <v>943</v>
      </c>
      <c r="H182">
        <v>1</v>
      </c>
      <c r="I182">
        <v>190.58</v>
      </c>
      <c r="J182">
        <v>0.1</v>
      </c>
      <c r="K182" s="3">
        <v>19.057999999999993</v>
      </c>
      <c r="L182">
        <v>171.52200000000002</v>
      </c>
      <c r="M182">
        <v>23.782000000000011</v>
      </c>
      <c r="N182" t="str">
        <f>"P. "&amp;(Sales__tbl[[#This Row],[product_id]]&amp;"."&amp;TEXT(Sales__tbl[[#This Row],[selling_price]],"0.00"))</f>
        <v>P. P.id09.190.58</v>
      </c>
    </row>
    <row r="183" spans="1:14" x14ac:dyDescent="0.25">
      <c r="A183">
        <v>182</v>
      </c>
      <c r="B183" s="9" t="str">
        <f>TEXT(Sales__tbl[[#This Row],[date]],"MM")</f>
        <v>08</v>
      </c>
      <c r="C183" s="13">
        <v>45150</v>
      </c>
      <c r="D183" t="str">
        <f>_xlfn.XLOOKUP(Sales__tbl[[#This Row],[customer_id]],customer_tbl[customer_id],customer_tbl[Branch_id],"Not found")</f>
        <v>N01</v>
      </c>
      <c r="E183" t="s">
        <v>1069</v>
      </c>
      <c r="F183" t="s">
        <v>966</v>
      </c>
      <c r="G183" t="s">
        <v>851</v>
      </c>
      <c r="H183">
        <v>1</v>
      </c>
      <c r="I183">
        <v>196.75</v>
      </c>
      <c r="J183">
        <v>0.1</v>
      </c>
      <c r="K183" s="3">
        <v>19.674999999999983</v>
      </c>
      <c r="L183">
        <v>177.07500000000002</v>
      </c>
      <c r="M183">
        <v>20.925000000000011</v>
      </c>
      <c r="N183" t="str">
        <f>"P. "&amp;(Sales__tbl[[#This Row],[product_id]]&amp;"."&amp;TEXT(Sales__tbl[[#This Row],[selling_price]],"0.00"))</f>
        <v>P. P.id11.196.75</v>
      </c>
    </row>
    <row r="184" spans="1:14" x14ac:dyDescent="0.25">
      <c r="A184">
        <v>183</v>
      </c>
      <c r="B184" s="9" t="str">
        <f>TEXT(Sales__tbl[[#This Row],[date]],"MM")</f>
        <v>08</v>
      </c>
      <c r="C184" s="13">
        <v>45151</v>
      </c>
      <c r="D184" t="str">
        <f>_xlfn.XLOOKUP(Sales__tbl[[#This Row],[customer_id]],customer_tbl[customer_id],customer_tbl[Branch_id],"Not found")</f>
        <v>N01</v>
      </c>
      <c r="E184" t="s">
        <v>1133</v>
      </c>
      <c r="F184" t="s">
        <v>967</v>
      </c>
      <c r="G184" t="s">
        <v>872</v>
      </c>
      <c r="H184">
        <v>2</v>
      </c>
      <c r="I184">
        <v>91.73</v>
      </c>
      <c r="J184">
        <v>0.1</v>
      </c>
      <c r="K184" s="3">
        <v>18.346000000000004</v>
      </c>
      <c r="L184">
        <v>165.114</v>
      </c>
      <c r="M184">
        <v>12.234000000000009</v>
      </c>
      <c r="N184" t="str">
        <f>"P. "&amp;(Sales__tbl[[#This Row],[product_id]]&amp;"."&amp;TEXT(Sales__tbl[[#This Row],[selling_price]],"0.00"))</f>
        <v>P. P.id12.91.73</v>
      </c>
    </row>
    <row r="185" spans="1:14" x14ac:dyDescent="0.25">
      <c r="A185">
        <v>184</v>
      </c>
      <c r="B185" s="9" t="str">
        <f>TEXT(Sales__tbl[[#This Row],[date]],"MM")</f>
        <v>08</v>
      </c>
      <c r="C185" s="13">
        <v>45152</v>
      </c>
      <c r="D185" t="str">
        <f>_xlfn.XLOOKUP(Sales__tbl[[#This Row],[customer_id]],customer_tbl[customer_id],customer_tbl[Branch_id],"Not found")</f>
        <v>C02</v>
      </c>
      <c r="E185" t="s">
        <v>1054</v>
      </c>
      <c r="F185" t="s">
        <v>963</v>
      </c>
      <c r="G185" t="s">
        <v>942</v>
      </c>
      <c r="H185">
        <v>1</v>
      </c>
      <c r="I185">
        <v>274.16000000000003</v>
      </c>
      <c r="J185">
        <v>0.1</v>
      </c>
      <c r="K185" s="3">
        <v>27.415999999999997</v>
      </c>
      <c r="L185">
        <v>246.74400000000003</v>
      </c>
      <c r="M185">
        <v>56.354000000000042</v>
      </c>
      <c r="N185" t="str">
        <f>"P. "&amp;(Sales__tbl[[#This Row],[product_id]]&amp;"."&amp;TEXT(Sales__tbl[[#This Row],[selling_price]],"0.00"))</f>
        <v>P. P.id08.274.16</v>
      </c>
    </row>
    <row r="186" spans="1:14" x14ac:dyDescent="0.25">
      <c r="A186">
        <v>185</v>
      </c>
      <c r="B186" s="9" t="str">
        <f>TEXT(Sales__tbl[[#This Row],[date]],"MM")</f>
        <v>08</v>
      </c>
      <c r="C186" s="13">
        <v>45153</v>
      </c>
      <c r="D186" t="str">
        <f>_xlfn.XLOOKUP(Sales__tbl[[#This Row],[customer_id]],customer_tbl[customer_id],customer_tbl[Branch_id],"Not found")</f>
        <v>E01</v>
      </c>
      <c r="E186" t="s">
        <v>1134</v>
      </c>
      <c r="F186" t="s">
        <v>963</v>
      </c>
      <c r="G186" t="s">
        <v>942</v>
      </c>
      <c r="H186">
        <v>1</v>
      </c>
      <c r="I186">
        <v>274.16000000000003</v>
      </c>
      <c r="J186">
        <v>0.1</v>
      </c>
      <c r="K186" s="3">
        <v>27.415999999999997</v>
      </c>
      <c r="L186">
        <v>246.74400000000003</v>
      </c>
      <c r="M186">
        <v>56.354000000000042</v>
      </c>
      <c r="N186" t="str">
        <f>"P. "&amp;(Sales__tbl[[#This Row],[product_id]]&amp;"."&amp;TEXT(Sales__tbl[[#This Row],[selling_price]],"0.00"))</f>
        <v>P. P.id08.274.16</v>
      </c>
    </row>
    <row r="187" spans="1:14" x14ac:dyDescent="0.25">
      <c r="A187">
        <v>186</v>
      </c>
      <c r="B187" s="9" t="str">
        <f>TEXT(Sales__tbl[[#This Row],[date]],"MM")</f>
        <v>08</v>
      </c>
      <c r="C187" s="13">
        <v>45154</v>
      </c>
      <c r="D187" t="str">
        <f>_xlfn.XLOOKUP(Sales__tbl[[#This Row],[customer_id]],customer_tbl[customer_id],customer_tbl[Branch_id],"Not found")</f>
        <v>N01</v>
      </c>
      <c r="E187" t="s">
        <v>1016</v>
      </c>
      <c r="F187" t="s">
        <v>958</v>
      </c>
      <c r="G187" t="s">
        <v>939</v>
      </c>
      <c r="H187">
        <v>1</v>
      </c>
      <c r="I187">
        <v>90.53</v>
      </c>
      <c r="J187">
        <v>0</v>
      </c>
      <c r="K187" s="3">
        <v>0</v>
      </c>
      <c r="L187">
        <v>90.53</v>
      </c>
      <c r="M187">
        <v>12.489999999999995</v>
      </c>
      <c r="N187" t="str">
        <f>"P. "&amp;(Sales__tbl[[#This Row],[product_id]]&amp;"."&amp;TEXT(Sales__tbl[[#This Row],[selling_price]],"0.00"))</f>
        <v>P. P.id03.90.53</v>
      </c>
    </row>
    <row r="188" spans="1:14" x14ac:dyDescent="0.25">
      <c r="A188">
        <v>187</v>
      </c>
      <c r="B188" s="9" t="str">
        <f>TEXT(Sales__tbl[[#This Row],[date]],"MM")</f>
        <v>08</v>
      </c>
      <c r="C188" s="13">
        <v>45155</v>
      </c>
      <c r="D188" t="str">
        <f>_xlfn.XLOOKUP(Sales__tbl[[#This Row],[customer_id]],customer_tbl[customer_id],customer_tbl[Branch_id],"Not found")</f>
        <v>W01</v>
      </c>
      <c r="E188" t="s">
        <v>1049</v>
      </c>
      <c r="F188" t="s">
        <v>962</v>
      </c>
      <c r="G188" t="s">
        <v>941</v>
      </c>
      <c r="H188">
        <v>4</v>
      </c>
      <c r="I188">
        <v>259.11</v>
      </c>
      <c r="J188">
        <v>0.2</v>
      </c>
      <c r="K188" s="3">
        <v>207.28800000000001</v>
      </c>
      <c r="L188">
        <v>829.15200000000004</v>
      </c>
      <c r="M188">
        <v>133.55200000000002</v>
      </c>
      <c r="N188" t="str">
        <f>"P. "&amp;(Sales__tbl[[#This Row],[product_id]]&amp;"."&amp;TEXT(Sales__tbl[[#This Row],[selling_price]],"0.00"))</f>
        <v>P. P.id07.259.11</v>
      </c>
    </row>
    <row r="189" spans="1:14" x14ac:dyDescent="0.25">
      <c r="A189">
        <v>188</v>
      </c>
      <c r="B189" s="9" t="str">
        <f>TEXT(Sales__tbl[[#This Row],[date]],"MM")</f>
        <v>08</v>
      </c>
      <c r="C189" s="13">
        <v>45156</v>
      </c>
      <c r="D189" t="str">
        <f>_xlfn.XLOOKUP(Sales__tbl[[#This Row],[customer_id]],customer_tbl[customer_id],customer_tbl[Branch_id],"Not found")</f>
        <v>W01</v>
      </c>
      <c r="E189" t="s">
        <v>1087</v>
      </c>
      <c r="F189" t="s">
        <v>956</v>
      </c>
      <c r="G189" t="s">
        <v>831</v>
      </c>
      <c r="H189">
        <v>1</v>
      </c>
      <c r="I189">
        <v>303.48</v>
      </c>
      <c r="J189">
        <v>0.15</v>
      </c>
      <c r="K189" s="3">
        <v>45.521999999999991</v>
      </c>
      <c r="L189">
        <v>257.95800000000003</v>
      </c>
      <c r="M189">
        <v>64.658000000000015</v>
      </c>
      <c r="N189" t="str">
        <f>"P. "&amp;(Sales__tbl[[#This Row],[product_id]]&amp;"."&amp;TEXT(Sales__tbl[[#This Row],[selling_price]],"0.00"))</f>
        <v>P. P.id01.303.48</v>
      </c>
    </row>
    <row r="190" spans="1:14" x14ac:dyDescent="0.25">
      <c r="A190">
        <v>189</v>
      </c>
      <c r="B190" s="9" t="str">
        <f>TEXT(Sales__tbl[[#This Row],[date]],"MM")</f>
        <v>08</v>
      </c>
      <c r="C190" s="13">
        <v>45157</v>
      </c>
      <c r="D190" t="str">
        <f>_xlfn.XLOOKUP(Sales__tbl[[#This Row],[customer_id]],customer_tbl[customer_id],customer_tbl[Branch_id],"Not found")</f>
        <v>E01</v>
      </c>
      <c r="E190" t="s">
        <v>1135</v>
      </c>
      <c r="F190" t="s">
        <v>966</v>
      </c>
      <c r="G190" t="s">
        <v>851</v>
      </c>
      <c r="H190">
        <v>2</v>
      </c>
      <c r="I190">
        <v>196.75</v>
      </c>
      <c r="J190">
        <v>0.15</v>
      </c>
      <c r="K190" s="3">
        <v>59.025000000000034</v>
      </c>
      <c r="L190">
        <v>334.47499999999997</v>
      </c>
      <c r="M190">
        <v>22.174999999999955</v>
      </c>
      <c r="N190" t="str">
        <f>"P. "&amp;(Sales__tbl[[#This Row],[product_id]]&amp;"."&amp;TEXT(Sales__tbl[[#This Row],[selling_price]],"0.00"))</f>
        <v>P. P.id11.196.75</v>
      </c>
    </row>
    <row r="191" spans="1:14" x14ac:dyDescent="0.25">
      <c r="A191">
        <v>190</v>
      </c>
      <c r="B191" s="9" t="str">
        <f>TEXT(Sales__tbl[[#This Row],[date]],"MM")</f>
        <v>08</v>
      </c>
      <c r="C191" s="13">
        <v>45158</v>
      </c>
      <c r="D191" t="str">
        <f>_xlfn.XLOOKUP(Sales__tbl[[#This Row],[customer_id]],customer_tbl[customer_id],customer_tbl[Branch_id],"Not found")</f>
        <v>S02</v>
      </c>
      <c r="E191" t="s">
        <v>1120</v>
      </c>
      <c r="F191" t="s">
        <v>957</v>
      </c>
      <c r="G191" t="s">
        <v>833</v>
      </c>
      <c r="H191">
        <v>1</v>
      </c>
      <c r="I191">
        <v>55.26</v>
      </c>
      <c r="J191">
        <v>0</v>
      </c>
      <c r="K191" s="3">
        <v>0</v>
      </c>
      <c r="L191">
        <v>55.26</v>
      </c>
      <c r="M191">
        <v>19.839999999999996</v>
      </c>
      <c r="N191" t="str">
        <f>"P. "&amp;(Sales__tbl[[#This Row],[product_id]]&amp;"."&amp;TEXT(Sales__tbl[[#This Row],[selling_price]],"0.00"))</f>
        <v>P. P.id02.55.26</v>
      </c>
    </row>
    <row r="192" spans="1:14" x14ac:dyDescent="0.25">
      <c r="A192">
        <v>191</v>
      </c>
      <c r="B192" s="9" t="str">
        <f>TEXT(Sales__tbl[[#This Row],[date]],"MM")</f>
        <v>08</v>
      </c>
      <c r="C192" s="13">
        <v>45159</v>
      </c>
      <c r="D192" t="str">
        <f>_xlfn.XLOOKUP(Sales__tbl[[#This Row],[customer_id]],customer_tbl[customer_id],customer_tbl[Branch_id],"Not found")</f>
        <v>N01</v>
      </c>
      <c r="E192" t="s">
        <v>1025</v>
      </c>
      <c r="F192" t="s">
        <v>963</v>
      </c>
      <c r="G192" t="s">
        <v>942</v>
      </c>
      <c r="H192">
        <v>1</v>
      </c>
      <c r="I192">
        <v>274.16000000000003</v>
      </c>
      <c r="J192">
        <v>0.1</v>
      </c>
      <c r="K192" s="3">
        <v>27.415999999999997</v>
      </c>
      <c r="L192">
        <v>246.74400000000003</v>
      </c>
      <c r="M192">
        <v>56.354000000000042</v>
      </c>
      <c r="N192" t="str">
        <f>"P. "&amp;(Sales__tbl[[#This Row],[product_id]]&amp;"."&amp;TEXT(Sales__tbl[[#This Row],[selling_price]],"0.00"))</f>
        <v>P. P.id08.274.16</v>
      </c>
    </row>
    <row r="193" spans="1:14" x14ac:dyDescent="0.25">
      <c r="A193">
        <v>192</v>
      </c>
      <c r="B193" s="9" t="str">
        <f>TEXT(Sales__tbl[[#This Row],[date]],"MM")</f>
        <v>08</v>
      </c>
      <c r="C193" s="13">
        <v>45160</v>
      </c>
      <c r="D193" t="str">
        <f>_xlfn.XLOOKUP(Sales__tbl[[#This Row],[customer_id]],customer_tbl[customer_id],customer_tbl[Branch_id],"Not found")</f>
        <v>S01</v>
      </c>
      <c r="E193" t="s">
        <v>1042</v>
      </c>
      <c r="F193" t="s">
        <v>961</v>
      </c>
      <c r="G193" t="s">
        <v>940</v>
      </c>
      <c r="H193">
        <v>2</v>
      </c>
      <c r="I193">
        <v>66.790000000000006</v>
      </c>
      <c r="J193">
        <v>0</v>
      </c>
      <c r="K193" s="3">
        <v>0</v>
      </c>
      <c r="L193">
        <v>133.58000000000001</v>
      </c>
      <c r="M193">
        <v>45.700000000000017</v>
      </c>
      <c r="N193" t="str">
        <f>"P. "&amp;(Sales__tbl[[#This Row],[product_id]]&amp;"."&amp;TEXT(Sales__tbl[[#This Row],[selling_price]],"0.00"))</f>
        <v>P. P.id06.66.79</v>
      </c>
    </row>
    <row r="194" spans="1:14" x14ac:dyDescent="0.25">
      <c r="A194">
        <v>193</v>
      </c>
      <c r="B194" s="9" t="str">
        <f>TEXT(Sales__tbl[[#This Row],[date]],"MM")</f>
        <v>08</v>
      </c>
      <c r="C194" s="13">
        <v>45161</v>
      </c>
      <c r="D194" t="str">
        <f>_xlfn.XLOOKUP(Sales__tbl[[#This Row],[customer_id]],customer_tbl[customer_id],customer_tbl[Branch_id],"Not found")</f>
        <v>N02</v>
      </c>
      <c r="E194" t="s">
        <v>1136</v>
      </c>
      <c r="F194" t="s">
        <v>964</v>
      </c>
      <c r="G194" t="s">
        <v>943</v>
      </c>
      <c r="H194">
        <v>1</v>
      </c>
      <c r="I194">
        <v>190.58</v>
      </c>
      <c r="J194">
        <v>0.1</v>
      </c>
      <c r="K194" s="3">
        <v>19.057999999999993</v>
      </c>
      <c r="L194">
        <v>171.52200000000002</v>
      </c>
      <c r="M194">
        <v>23.782000000000011</v>
      </c>
      <c r="N194" t="str">
        <f>"P. "&amp;(Sales__tbl[[#This Row],[product_id]]&amp;"."&amp;TEXT(Sales__tbl[[#This Row],[selling_price]],"0.00"))</f>
        <v>P. P.id09.190.58</v>
      </c>
    </row>
    <row r="195" spans="1:14" x14ac:dyDescent="0.25">
      <c r="A195">
        <v>194</v>
      </c>
      <c r="B195" s="9" t="str">
        <f>TEXT(Sales__tbl[[#This Row],[date]],"MM")</f>
        <v>08</v>
      </c>
      <c r="C195" s="13">
        <v>45162</v>
      </c>
      <c r="D195" t="str">
        <f>_xlfn.XLOOKUP(Sales__tbl[[#This Row],[customer_id]],customer_tbl[customer_id],customer_tbl[Branch_id],"Not found")</f>
        <v>W02</v>
      </c>
      <c r="E195" t="s">
        <v>1137</v>
      </c>
      <c r="F195" t="s">
        <v>956</v>
      </c>
      <c r="G195" t="s">
        <v>831</v>
      </c>
      <c r="H195">
        <v>1</v>
      </c>
      <c r="I195">
        <v>303.48</v>
      </c>
      <c r="J195">
        <v>0.15</v>
      </c>
      <c r="K195" s="3">
        <v>45.521999999999991</v>
      </c>
      <c r="L195">
        <v>257.95800000000003</v>
      </c>
      <c r="M195">
        <v>64.658000000000015</v>
      </c>
      <c r="N195" t="str">
        <f>"P. "&amp;(Sales__tbl[[#This Row],[product_id]]&amp;"."&amp;TEXT(Sales__tbl[[#This Row],[selling_price]],"0.00"))</f>
        <v>P. P.id01.303.48</v>
      </c>
    </row>
    <row r="196" spans="1:14" x14ac:dyDescent="0.25">
      <c r="A196">
        <v>195</v>
      </c>
      <c r="B196" s="9" t="str">
        <f>TEXT(Sales__tbl[[#This Row],[date]],"MM")</f>
        <v>08</v>
      </c>
      <c r="C196" s="13">
        <v>45163</v>
      </c>
      <c r="D196" t="str">
        <f>_xlfn.XLOOKUP(Sales__tbl[[#This Row],[customer_id]],customer_tbl[customer_id],customer_tbl[Branch_id],"Not found")</f>
        <v>E02</v>
      </c>
      <c r="E196" t="s">
        <v>1091</v>
      </c>
      <c r="F196" t="s">
        <v>962</v>
      </c>
      <c r="G196" t="s">
        <v>941</v>
      </c>
      <c r="H196">
        <v>1</v>
      </c>
      <c r="I196">
        <v>259.11</v>
      </c>
      <c r="J196">
        <v>0.1</v>
      </c>
      <c r="K196" s="3">
        <v>25.911000000000001</v>
      </c>
      <c r="L196">
        <v>233.19900000000001</v>
      </c>
      <c r="M196">
        <v>59.299000000000007</v>
      </c>
      <c r="N196" t="str">
        <f>"P. "&amp;(Sales__tbl[[#This Row],[product_id]]&amp;"."&amp;TEXT(Sales__tbl[[#This Row],[selling_price]],"0.00"))</f>
        <v>P. P.id07.259.11</v>
      </c>
    </row>
    <row r="197" spans="1:14" x14ac:dyDescent="0.25">
      <c r="A197">
        <v>196</v>
      </c>
      <c r="B197" s="9" t="str">
        <f>TEXT(Sales__tbl[[#This Row],[date]],"MM")</f>
        <v>08</v>
      </c>
      <c r="C197" s="13">
        <v>45164</v>
      </c>
      <c r="D197" t="str">
        <f>_xlfn.XLOOKUP(Sales__tbl[[#This Row],[customer_id]],customer_tbl[customer_id],customer_tbl[Branch_id],"Not found")</f>
        <v>C02</v>
      </c>
      <c r="E197" t="s">
        <v>1138</v>
      </c>
      <c r="F197" t="s">
        <v>962</v>
      </c>
      <c r="G197" t="s">
        <v>941</v>
      </c>
      <c r="H197">
        <v>1</v>
      </c>
      <c r="I197">
        <v>259.11</v>
      </c>
      <c r="J197">
        <v>0.1</v>
      </c>
      <c r="K197" s="3">
        <v>25.911000000000001</v>
      </c>
      <c r="L197">
        <v>233.19900000000001</v>
      </c>
      <c r="M197">
        <v>59.299000000000007</v>
      </c>
      <c r="N197" t="str">
        <f>"P. "&amp;(Sales__tbl[[#This Row],[product_id]]&amp;"."&amp;TEXT(Sales__tbl[[#This Row],[selling_price]],"0.00"))</f>
        <v>P. P.id07.259.11</v>
      </c>
    </row>
    <row r="198" spans="1:14" x14ac:dyDescent="0.25">
      <c r="A198">
        <v>197</v>
      </c>
      <c r="B198" s="9" t="str">
        <f>TEXT(Sales__tbl[[#This Row],[date]],"MM")</f>
        <v>08</v>
      </c>
      <c r="C198" s="13">
        <v>45165</v>
      </c>
      <c r="D198" t="str">
        <f>_xlfn.XLOOKUP(Sales__tbl[[#This Row],[customer_id]],customer_tbl[customer_id],customer_tbl[Branch_id],"Not found")</f>
        <v>C01</v>
      </c>
      <c r="E198" t="s">
        <v>1010</v>
      </c>
      <c r="F198" t="s">
        <v>967</v>
      </c>
      <c r="G198" t="s">
        <v>872</v>
      </c>
      <c r="H198">
        <v>1</v>
      </c>
      <c r="I198">
        <v>91.73</v>
      </c>
      <c r="J198">
        <v>0</v>
      </c>
      <c r="K198" s="3">
        <v>0</v>
      </c>
      <c r="L198">
        <v>91.73</v>
      </c>
      <c r="M198">
        <v>15.290000000000006</v>
      </c>
      <c r="N198" t="str">
        <f>"P. "&amp;(Sales__tbl[[#This Row],[product_id]]&amp;"."&amp;TEXT(Sales__tbl[[#This Row],[selling_price]],"0.00"))</f>
        <v>P. P.id12.91.73</v>
      </c>
    </row>
    <row r="199" spans="1:14" x14ac:dyDescent="0.25">
      <c r="A199">
        <v>198</v>
      </c>
      <c r="B199" s="9" t="str">
        <f>TEXT(Sales__tbl[[#This Row],[date]],"MM")</f>
        <v>08</v>
      </c>
      <c r="C199" s="13">
        <v>45166</v>
      </c>
      <c r="D199" t="str">
        <f>_xlfn.XLOOKUP(Sales__tbl[[#This Row],[customer_id]],customer_tbl[customer_id],customer_tbl[Branch_id],"Not found")</f>
        <v>N01</v>
      </c>
      <c r="E199" t="s">
        <v>1139</v>
      </c>
      <c r="F199" t="s">
        <v>962</v>
      </c>
      <c r="G199" t="s">
        <v>941</v>
      </c>
      <c r="H199">
        <v>1</v>
      </c>
      <c r="I199">
        <v>259.11</v>
      </c>
      <c r="J199">
        <v>0.1</v>
      </c>
      <c r="K199" s="3">
        <v>25.911000000000001</v>
      </c>
      <c r="L199">
        <v>233.19900000000001</v>
      </c>
      <c r="M199">
        <v>59.299000000000007</v>
      </c>
      <c r="N199" t="str">
        <f>"P. "&amp;(Sales__tbl[[#This Row],[product_id]]&amp;"."&amp;TEXT(Sales__tbl[[#This Row],[selling_price]],"0.00"))</f>
        <v>P. P.id07.259.11</v>
      </c>
    </row>
    <row r="200" spans="1:14" x14ac:dyDescent="0.25">
      <c r="A200">
        <v>199</v>
      </c>
      <c r="B200" s="9" t="str">
        <f>TEXT(Sales__tbl[[#This Row],[date]],"MM")</f>
        <v>08</v>
      </c>
      <c r="C200" s="13">
        <v>45167</v>
      </c>
      <c r="D200" t="str">
        <f>_xlfn.XLOOKUP(Sales__tbl[[#This Row],[customer_id]],customer_tbl[customer_id],customer_tbl[Branch_id],"Not found")</f>
        <v>C02</v>
      </c>
      <c r="E200" t="s">
        <v>1036</v>
      </c>
      <c r="F200" t="s">
        <v>966</v>
      </c>
      <c r="G200" t="s">
        <v>851</v>
      </c>
      <c r="H200">
        <v>1</v>
      </c>
      <c r="I200">
        <v>196.75</v>
      </c>
      <c r="J200">
        <v>0.1</v>
      </c>
      <c r="K200" s="3">
        <v>19.674999999999983</v>
      </c>
      <c r="L200">
        <v>177.07500000000002</v>
      </c>
      <c r="M200">
        <v>20.925000000000011</v>
      </c>
      <c r="N200" t="str">
        <f>"P. "&amp;(Sales__tbl[[#This Row],[product_id]]&amp;"."&amp;TEXT(Sales__tbl[[#This Row],[selling_price]],"0.00"))</f>
        <v>P. P.id11.196.75</v>
      </c>
    </row>
    <row r="201" spans="1:14" x14ac:dyDescent="0.25">
      <c r="A201">
        <v>200</v>
      </c>
      <c r="B201" s="9" t="str">
        <f>TEXT(Sales__tbl[[#This Row],[date]],"MM")</f>
        <v>08</v>
      </c>
      <c r="C201" s="13">
        <v>45168</v>
      </c>
      <c r="D201" t="str">
        <f>_xlfn.XLOOKUP(Sales__tbl[[#This Row],[customer_id]],customer_tbl[customer_id],customer_tbl[Branch_id],"Not found")</f>
        <v>W02</v>
      </c>
      <c r="E201" t="s">
        <v>1043</v>
      </c>
      <c r="F201" t="s">
        <v>958</v>
      </c>
      <c r="G201" t="s">
        <v>939</v>
      </c>
      <c r="H201">
        <v>1</v>
      </c>
      <c r="I201">
        <v>90.53</v>
      </c>
      <c r="J201">
        <v>0</v>
      </c>
      <c r="K201" s="3">
        <v>0</v>
      </c>
      <c r="L201">
        <v>90.53</v>
      </c>
      <c r="M201">
        <v>12.489999999999995</v>
      </c>
      <c r="N201" t="str">
        <f>"P. "&amp;(Sales__tbl[[#This Row],[product_id]]&amp;"."&amp;TEXT(Sales__tbl[[#This Row],[selling_price]],"0.00"))</f>
        <v>P. P.id03.90.53</v>
      </c>
    </row>
    <row r="202" spans="1:14" x14ac:dyDescent="0.25">
      <c r="A202">
        <v>201</v>
      </c>
      <c r="B202" s="9" t="str">
        <f>TEXT(Sales__tbl[[#This Row],[date]],"MM")</f>
        <v>08</v>
      </c>
      <c r="C202" s="13">
        <v>45169</v>
      </c>
      <c r="D202" t="str">
        <f>_xlfn.XLOOKUP(Sales__tbl[[#This Row],[customer_id]],customer_tbl[customer_id],customer_tbl[Branch_id],"Not found")</f>
        <v>C02</v>
      </c>
      <c r="E202" t="s">
        <v>1140</v>
      </c>
      <c r="F202" t="s">
        <v>958</v>
      </c>
      <c r="G202" t="s">
        <v>939</v>
      </c>
      <c r="H202">
        <v>1</v>
      </c>
      <c r="I202">
        <v>90.53</v>
      </c>
      <c r="J202">
        <v>0</v>
      </c>
      <c r="K202" s="3">
        <v>0</v>
      </c>
      <c r="L202">
        <v>90.53</v>
      </c>
      <c r="M202">
        <v>12.489999999999995</v>
      </c>
      <c r="N202" t="str">
        <f>"P. "&amp;(Sales__tbl[[#This Row],[product_id]]&amp;"."&amp;TEXT(Sales__tbl[[#This Row],[selling_price]],"0.00"))</f>
        <v>P. P.id03.90.53</v>
      </c>
    </row>
    <row r="203" spans="1:14" x14ac:dyDescent="0.25">
      <c r="A203">
        <v>202</v>
      </c>
      <c r="B203" s="9" t="str">
        <f>TEXT(Sales__tbl[[#This Row],[date]],"MM")</f>
        <v>09</v>
      </c>
      <c r="C203" s="13">
        <v>45170</v>
      </c>
      <c r="D203" t="str">
        <f>_xlfn.XLOOKUP(Sales__tbl[[#This Row],[customer_id]],customer_tbl[customer_id],customer_tbl[Branch_id],"Not found")</f>
        <v>C01</v>
      </c>
      <c r="E203" t="s">
        <v>1097</v>
      </c>
      <c r="F203" t="s">
        <v>958</v>
      </c>
      <c r="G203" t="s">
        <v>939</v>
      </c>
      <c r="H203">
        <v>2</v>
      </c>
      <c r="I203">
        <v>90.53</v>
      </c>
      <c r="J203">
        <v>0.1</v>
      </c>
      <c r="K203" s="3">
        <v>18.105999999999995</v>
      </c>
      <c r="L203">
        <v>162.95400000000001</v>
      </c>
      <c r="M203">
        <v>6.8739999999999952</v>
      </c>
      <c r="N203" t="str">
        <f>"P. "&amp;(Sales__tbl[[#This Row],[product_id]]&amp;"."&amp;TEXT(Sales__tbl[[#This Row],[selling_price]],"0.00"))</f>
        <v>P. P.id03.90.53</v>
      </c>
    </row>
    <row r="204" spans="1:14" x14ac:dyDescent="0.25">
      <c r="A204">
        <v>203</v>
      </c>
      <c r="B204" s="9" t="str">
        <f>TEXT(Sales__tbl[[#This Row],[date]],"MM")</f>
        <v>09</v>
      </c>
      <c r="C204" s="13">
        <v>45171</v>
      </c>
      <c r="D204" t="str">
        <f>_xlfn.XLOOKUP(Sales__tbl[[#This Row],[customer_id]],customer_tbl[customer_id],customer_tbl[Branch_id],"Not found")</f>
        <v>E02</v>
      </c>
      <c r="E204" t="s">
        <v>1048</v>
      </c>
      <c r="F204" t="s">
        <v>962</v>
      </c>
      <c r="G204" t="s">
        <v>941</v>
      </c>
      <c r="H204">
        <v>1</v>
      </c>
      <c r="I204">
        <v>259.11</v>
      </c>
      <c r="J204">
        <v>0.1</v>
      </c>
      <c r="K204" s="3">
        <v>25.911000000000001</v>
      </c>
      <c r="L204">
        <v>233.19900000000001</v>
      </c>
      <c r="M204">
        <v>59.299000000000007</v>
      </c>
      <c r="N204" t="str">
        <f>"P. "&amp;(Sales__tbl[[#This Row],[product_id]]&amp;"."&amp;TEXT(Sales__tbl[[#This Row],[selling_price]],"0.00"))</f>
        <v>P. P.id07.259.11</v>
      </c>
    </row>
    <row r="205" spans="1:14" x14ac:dyDescent="0.25">
      <c r="A205">
        <v>204</v>
      </c>
      <c r="B205" s="9" t="str">
        <f>TEXT(Sales__tbl[[#This Row],[date]],"MM")</f>
        <v>09</v>
      </c>
      <c r="C205" s="13">
        <v>45172</v>
      </c>
      <c r="D205" t="str">
        <f>_xlfn.XLOOKUP(Sales__tbl[[#This Row],[customer_id]],customer_tbl[customer_id],customer_tbl[Branch_id],"Not found")</f>
        <v>N02</v>
      </c>
      <c r="E205" t="s">
        <v>1141</v>
      </c>
      <c r="F205" t="s">
        <v>962</v>
      </c>
      <c r="G205" t="s">
        <v>941</v>
      </c>
      <c r="H205">
        <v>1</v>
      </c>
      <c r="I205">
        <v>259.11</v>
      </c>
      <c r="J205">
        <v>0.1</v>
      </c>
      <c r="K205" s="3">
        <v>25.911000000000001</v>
      </c>
      <c r="L205">
        <v>233.19900000000001</v>
      </c>
      <c r="M205">
        <v>59.299000000000007</v>
      </c>
      <c r="N205" t="str">
        <f>"P. "&amp;(Sales__tbl[[#This Row],[product_id]]&amp;"."&amp;TEXT(Sales__tbl[[#This Row],[selling_price]],"0.00"))</f>
        <v>P. P.id07.259.11</v>
      </c>
    </row>
    <row r="206" spans="1:14" x14ac:dyDescent="0.25">
      <c r="A206">
        <v>205</v>
      </c>
      <c r="B206" s="9" t="str">
        <f>TEXT(Sales__tbl[[#This Row],[date]],"MM")</f>
        <v>09</v>
      </c>
      <c r="C206" s="13">
        <v>45173</v>
      </c>
      <c r="D206" t="str">
        <f>_xlfn.XLOOKUP(Sales__tbl[[#This Row],[customer_id]],customer_tbl[customer_id],customer_tbl[Branch_id],"Not found")</f>
        <v>N02</v>
      </c>
      <c r="E206" t="s">
        <v>1142</v>
      </c>
      <c r="F206" t="s">
        <v>962</v>
      </c>
      <c r="G206" t="s">
        <v>941</v>
      </c>
      <c r="H206">
        <v>1</v>
      </c>
      <c r="I206">
        <v>259.11</v>
      </c>
      <c r="J206">
        <v>0.1</v>
      </c>
      <c r="K206" s="3">
        <v>25.911000000000001</v>
      </c>
      <c r="L206">
        <v>233.19900000000001</v>
      </c>
      <c r="M206">
        <v>59.299000000000007</v>
      </c>
      <c r="N206" t="str">
        <f>"P. "&amp;(Sales__tbl[[#This Row],[product_id]]&amp;"."&amp;TEXT(Sales__tbl[[#This Row],[selling_price]],"0.00"))</f>
        <v>P. P.id07.259.11</v>
      </c>
    </row>
    <row r="207" spans="1:14" x14ac:dyDescent="0.25">
      <c r="A207">
        <v>206</v>
      </c>
      <c r="B207" s="9" t="str">
        <f>TEXT(Sales__tbl[[#This Row],[date]],"MM")</f>
        <v>09</v>
      </c>
      <c r="C207" s="13">
        <v>45174</v>
      </c>
      <c r="D207" t="str">
        <f>_xlfn.XLOOKUP(Sales__tbl[[#This Row],[customer_id]],customer_tbl[customer_id],customer_tbl[Branch_id],"Not found")</f>
        <v>N02</v>
      </c>
      <c r="E207" t="s">
        <v>1108</v>
      </c>
      <c r="F207" t="s">
        <v>958</v>
      </c>
      <c r="G207" t="s">
        <v>939</v>
      </c>
      <c r="H207">
        <v>2</v>
      </c>
      <c r="I207">
        <v>90.53</v>
      </c>
      <c r="J207">
        <v>0.1</v>
      </c>
      <c r="K207" s="3">
        <v>18.105999999999995</v>
      </c>
      <c r="L207">
        <v>162.95400000000001</v>
      </c>
      <c r="M207">
        <v>6.8739999999999952</v>
      </c>
      <c r="N207" t="str">
        <f>"P. "&amp;(Sales__tbl[[#This Row],[product_id]]&amp;"."&amp;TEXT(Sales__tbl[[#This Row],[selling_price]],"0.00"))</f>
        <v>P. P.id03.90.53</v>
      </c>
    </row>
    <row r="208" spans="1:14" x14ac:dyDescent="0.25">
      <c r="A208">
        <v>207</v>
      </c>
      <c r="B208" s="9" t="str">
        <f>TEXT(Sales__tbl[[#This Row],[date]],"MM")</f>
        <v>09</v>
      </c>
      <c r="C208" s="13">
        <v>45175</v>
      </c>
      <c r="D208" t="str">
        <f>_xlfn.XLOOKUP(Sales__tbl[[#This Row],[customer_id]],customer_tbl[customer_id],customer_tbl[Branch_id],"Not found")</f>
        <v>S02</v>
      </c>
      <c r="E208" t="s">
        <v>1143</v>
      </c>
      <c r="F208" t="s">
        <v>960</v>
      </c>
      <c r="G208" t="s">
        <v>839</v>
      </c>
      <c r="H208">
        <v>1</v>
      </c>
      <c r="I208">
        <v>165.45</v>
      </c>
      <c r="J208">
        <v>0.1</v>
      </c>
      <c r="K208" s="3">
        <v>16.544999999999987</v>
      </c>
      <c r="L208">
        <v>148.905</v>
      </c>
      <c r="M208">
        <v>25.435000000000002</v>
      </c>
      <c r="N208" t="str">
        <f>"P. "&amp;(Sales__tbl[[#This Row],[product_id]]&amp;"."&amp;TEXT(Sales__tbl[[#This Row],[selling_price]],"0.00"))</f>
        <v>P. P.id05.165.45</v>
      </c>
    </row>
    <row r="209" spans="1:14" x14ac:dyDescent="0.25">
      <c r="A209">
        <v>208</v>
      </c>
      <c r="B209" s="9" t="str">
        <f>TEXT(Sales__tbl[[#This Row],[date]],"MM")</f>
        <v>09</v>
      </c>
      <c r="C209" s="13">
        <v>45176</v>
      </c>
      <c r="D209" t="str">
        <f>_xlfn.XLOOKUP(Sales__tbl[[#This Row],[customer_id]],customer_tbl[customer_id],customer_tbl[Branch_id],"Not found")</f>
        <v>E01</v>
      </c>
      <c r="E209" t="s">
        <v>987</v>
      </c>
      <c r="F209" t="s">
        <v>963</v>
      </c>
      <c r="G209" t="s">
        <v>942</v>
      </c>
      <c r="H209">
        <v>1</v>
      </c>
      <c r="I209">
        <v>274.16000000000003</v>
      </c>
      <c r="J209">
        <v>0.1</v>
      </c>
      <c r="K209" s="3">
        <v>27.415999999999997</v>
      </c>
      <c r="L209">
        <v>246.74400000000003</v>
      </c>
      <c r="M209">
        <v>56.354000000000042</v>
      </c>
      <c r="N209" t="str">
        <f>"P. "&amp;(Sales__tbl[[#This Row],[product_id]]&amp;"."&amp;TEXT(Sales__tbl[[#This Row],[selling_price]],"0.00"))</f>
        <v>P. P.id08.274.16</v>
      </c>
    </row>
    <row r="210" spans="1:14" x14ac:dyDescent="0.25">
      <c r="A210">
        <v>209</v>
      </c>
      <c r="B210" s="9" t="str">
        <f>TEXT(Sales__tbl[[#This Row],[date]],"MM")</f>
        <v>09</v>
      </c>
      <c r="C210" s="13">
        <v>45177</v>
      </c>
      <c r="D210" t="str">
        <f>_xlfn.XLOOKUP(Sales__tbl[[#This Row],[customer_id]],customer_tbl[customer_id],customer_tbl[Branch_id],"Not found")</f>
        <v>W02</v>
      </c>
      <c r="E210" t="s">
        <v>1124</v>
      </c>
      <c r="F210" t="s">
        <v>964</v>
      </c>
      <c r="G210" t="s">
        <v>943</v>
      </c>
      <c r="H210">
        <v>2</v>
      </c>
      <c r="I210">
        <v>190.58</v>
      </c>
      <c r="J210">
        <v>0.15</v>
      </c>
      <c r="K210" s="3">
        <v>57.174000000000035</v>
      </c>
      <c r="L210">
        <v>323.98599999999999</v>
      </c>
      <c r="M210">
        <v>28.505999999999972</v>
      </c>
      <c r="N210" t="str">
        <f>"P. "&amp;(Sales__tbl[[#This Row],[product_id]]&amp;"."&amp;TEXT(Sales__tbl[[#This Row],[selling_price]],"0.00"))</f>
        <v>P. P.id09.190.58</v>
      </c>
    </row>
    <row r="211" spans="1:14" x14ac:dyDescent="0.25">
      <c r="A211">
        <v>210</v>
      </c>
      <c r="B211" s="9" t="str">
        <f>TEXT(Sales__tbl[[#This Row],[date]],"MM")</f>
        <v>09</v>
      </c>
      <c r="C211" s="13">
        <v>45178</v>
      </c>
      <c r="D211" t="str">
        <f>_xlfn.XLOOKUP(Sales__tbl[[#This Row],[customer_id]],customer_tbl[customer_id],customer_tbl[Branch_id],"Not found")</f>
        <v>W02</v>
      </c>
      <c r="E211" t="s">
        <v>1099</v>
      </c>
      <c r="F211" t="s">
        <v>959</v>
      </c>
      <c r="G211" t="s">
        <v>837</v>
      </c>
      <c r="H211">
        <v>1</v>
      </c>
      <c r="I211">
        <v>11.53</v>
      </c>
      <c r="J211">
        <v>0</v>
      </c>
      <c r="K211" s="3">
        <v>0</v>
      </c>
      <c r="L211">
        <v>11.53</v>
      </c>
      <c r="M211">
        <v>2.5199999999999996</v>
      </c>
      <c r="N211" t="str">
        <f>"P. "&amp;(Sales__tbl[[#This Row],[product_id]]&amp;"."&amp;TEXT(Sales__tbl[[#This Row],[selling_price]],"0.00"))</f>
        <v>P. P.id04.11.53</v>
      </c>
    </row>
    <row r="212" spans="1:14" x14ac:dyDescent="0.25">
      <c r="A212">
        <v>211</v>
      </c>
      <c r="B212" s="9" t="str">
        <f>TEXT(Sales__tbl[[#This Row],[date]],"MM")</f>
        <v>09</v>
      </c>
      <c r="C212" s="13">
        <v>45179</v>
      </c>
      <c r="D212" t="str">
        <f>_xlfn.XLOOKUP(Sales__tbl[[#This Row],[customer_id]],customer_tbl[customer_id],customer_tbl[Branch_id],"Not found")</f>
        <v>E02</v>
      </c>
      <c r="E212" t="s">
        <v>1144</v>
      </c>
      <c r="F212" t="s">
        <v>965</v>
      </c>
      <c r="G212" t="s">
        <v>847</v>
      </c>
      <c r="H212">
        <v>1</v>
      </c>
      <c r="I212">
        <v>168</v>
      </c>
      <c r="J212">
        <v>0.1</v>
      </c>
      <c r="K212" s="3">
        <v>16.799999999999983</v>
      </c>
      <c r="L212">
        <v>151.20000000000002</v>
      </c>
      <c r="M212">
        <v>29.460000000000022</v>
      </c>
      <c r="N212" t="str">
        <f>"P. "&amp;(Sales__tbl[[#This Row],[product_id]]&amp;"."&amp;TEXT(Sales__tbl[[#This Row],[selling_price]],"0.00"))</f>
        <v>P. P.id10.168.00</v>
      </c>
    </row>
    <row r="213" spans="1:14" x14ac:dyDescent="0.25">
      <c r="A213">
        <v>212</v>
      </c>
      <c r="B213" s="9" t="str">
        <f>TEXT(Sales__tbl[[#This Row],[date]],"MM")</f>
        <v>09</v>
      </c>
      <c r="C213" s="13">
        <v>45180</v>
      </c>
      <c r="D213" t="str">
        <f>_xlfn.XLOOKUP(Sales__tbl[[#This Row],[customer_id]],customer_tbl[customer_id],customer_tbl[Branch_id],"Not found")</f>
        <v>N01</v>
      </c>
      <c r="E213" t="s">
        <v>1139</v>
      </c>
      <c r="F213" t="s">
        <v>959</v>
      </c>
      <c r="G213" t="s">
        <v>837</v>
      </c>
      <c r="H213">
        <v>1</v>
      </c>
      <c r="I213">
        <v>11.53</v>
      </c>
      <c r="J213">
        <v>0</v>
      </c>
      <c r="K213" s="3">
        <v>0</v>
      </c>
      <c r="L213">
        <v>11.53</v>
      </c>
      <c r="M213">
        <v>2.5199999999999996</v>
      </c>
      <c r="N213" t="str">
        <f>"P. "&amp;(Sales__tbl[[#This Row],[product_id]]&amp;"."&amp;TEXT(Sales__tbl[[#This Row],[selling_price]],"0.00"))</f>
        <v>P. P.id04.11.53</v>
      </c>
    </row>
    <row r="214" spans="1:14" x14ac:dyDescent="0.25">
      <c r="A214">
        <v>213</v>
      </c>
      <c r="B214" s="9" t="str">
        <f>TEXT(Sales__tbl[[#This Row],[date]],"MM")</f>
        <v>09</v>
      </c>
      <c r="C214" s="13">
        <v>45181</v>
      </c>
      <c r="D214" t="str">
        <f>_xlfn.XLOOKUP(Sales__tbl[[#This Row],[customer_id]],customer_tbl[customer_id],customer_tbl[Branch_id],"Not found")</f>
        <v>S01</v>
      </c>
      <c r="E214" t="s">
        <v>1095</v>
      </c>
      <c r="F214" t="s">
        <v>957</v>
      </c>
      <c r="G214" t="s">
        <v>833</v>
      </c>
      <c r="H214">
        <v>1</v>
      </c>
      <c r="I214">
        <v>55.26</v>
      </c>
      <c r="J214">
        <v>0</v>
      </c>
      <c r="K214" s="3">
        <v>0</v>
      </c>
      <c r="L214">
        <v>55.26</v>
      </c>
      <c r="M214">
        <v>19.839999999999996</v>
      </c>
      <c r="N214" t="str">
        <f>"P. "&amp;(Sales__tbl[[#This Row],[product_id]]&amp;"."&amp;TEXT(Sales__tbl[[#This Row],[selling_price]],"0.00"))</f>
        <v>P. P.id02.55.26</v>
      </c>
    </row>
    <row r="215" spans="1:14" x14ac:dyDescent="0.25">
      <c r="A215">
        <v>214</v>
      </c>
      <c r="B215" s="9" t="str">
        <f>TEXT(Sales__tbl[[#This Row],[date]],"MM")</f>
        <v>09</v>
      </c>
      <c r="C215" s="13">
        <v>45182</v>
      </c>
      <c r="D215" t="str">
        <f>_xlfn.XLOOKUP(Sales__tbl[[#This Row],[customer_id]],customer_tbl[customer_id],customer_tbl[Branch_id],"Not found")</f>
        <v>N01</v>
      </c>
      <c r="E215" t="s">
        <v>1145</v>
      </c>
      <c r="F215" t="s">
        <v>956</v>
      </c>
      <c r="G215" t="s">
        <v>831</v>
      </c>
      <c r="H215">
        <v>2</v>
      </c>
      <c r="I215">
        <v>303.48</v>
      </c>
      <c r="J215">
        <v>0.2</v>
      </c>
      <c r="K215" s="3">
        <v>121.392</v>
      </c>
      <c r="L215">
        <v>485.56800000000004</v>
      </c>
      <c r="M215">
        <v>98.968000000000018</v>
      </c>
      <c r="N215" t="str">
        <f>"P. "&amp;(Sales__tbl[[#This Row],[product_id]]&amp;"."&amp;TEXT(Sales__tbl[[#This Row],[selling_price]],"0.00"))</f>
        <v>P. P.id01.303.48</v>
      </c>
    </row>
    <row r="216" spans="1:14" x14ac:dyDescent="0.25">
      <c r="A216">
        <v>215</v>
      </c>
      <c r="B216" s="9" t="str">
        <f>TEXT(Sales__tbl[[#This Row],[date]],"MM")</f>
        <v>09</v>
      </c>
      <c r="C216" s="13">
        <v>45183</v>
      </c>
      <c r="D216" t="str">
        <f>_xlfn.XLOOKUP(Sales__tbl[[#This Row],[customer_id]],customer_tbl[customer_id],customer_tbl[Branch_id],"Not found")</f>
        <v>W02</v>
      </c>
      <c r="E216" t="s">
        <v>1099</v>
      </c>
      <c r="F216" t="s">
        <v>967</v>
      </c>
      <c r="G216" t="s">
        <v>872</v>
      </c>
      <c r="H216">
        <v>2</v>
      </c>
      <c r="I216">
        <v>91.73</v>
      </c>
      <c r="J216">
        <v>0.1</v>
      </c>
      <c r="K216" s="3">
        <v>18.346000000000004</v>
      </c>
      <c r="L216">
        <v>165.114</v>
      </c>
      <c r="M216">
        <v>12.234000000000009</v>
      </c>
      <c r="N216" t="str">
        <f>"P. "&amp;(Sales__tbl[[#This Row],[product_id]]&amp;"."&amp;TEXT(Sales__tbl[[#This Row],[selling_price]],"0.00"))</f>
        <v>P. P.id12.91.73</v>
      </c>
    </row>
    <row r="217" spans="1:14" x14ac:dyDescent="0.25">
      <c r="A217">
        <v>216</v>
      </c>
      <c r="B217" s="9" t="str">
        <f>TEXT(Sales__tbl[[#This Row],[date]],"MM")</f>
        <v>09</v>
      </c>
      <c r="C217" s="13">
        <v>45184</v>
      </c>
      <c r="D217" t="str">
        <f>_xlfn.XLOOKUP(Sales__tbl[[#This Row],[customer_id]],customer_tbl[customer_id],customer_tbl[Branch_id],"Not found")</f>
        <v>N01</v>
      </c>
      <c r="E217" t="s">
        <v>1003</v>
      </c>
      <c r="F217" t="s">
        <v>961</v>
      </c>
      <c r="G217" t="s">
        <v>940</v>
      </c>
      <c r="H217">
        <v>1</v>
      </c>
      <c r="I217">
        <v>66.790000000000006</v>
      </c>
      <c r="J217">
        <v>0</v>
      </c>
      <c r="K217" s="3">
        <v>0</v>
      </c>
      <c r="L217">
        <v>66.790000000000006</v>
      </c>
      <c r="M217">
        <v>22.850000000000009</v>
      </c>
      <c r="N217" t="str">
        <f>"P. "&amp;(Sales__tbl[[#This Row],[product_id]]&amp;"."&amp;TEXT(Sales__tbl[[#This Row],[selling_price]],"0.00"))</f>
        <v>P. P.id06.66.79</v>
      </c>
    </row>
    <row r="218" spans="1:14" x14ac:dyDescent="0.25">
      <c r="A218">
        <v>217</v>
      </c>
      <c r="B218" s="9" t="str">
        <f>TEXT(Sales__tbl[[#This Row],[date]],"MM")</f>
        <v>09</v>
      </c>
      <c r="C218" s="13">
        <v>45185</v>
      </c>
      <c r="D218" t="str">
        <f>_xlfn.XLOOKUP(Sales__tbl[[#This Row],[customer_id]],customer_tbl[customer_id],customer_tbl[Branch_id],"Not found")</f>
        <v>E01</v>
      </c>
      <c r="E218" t="s">
        <v>1035</v>
      </c>
      <c r="F218" t="s">
        <v>963</v>
      </c>
      <c r="G218" t="s">
        <v>942</v>
      </c>
      <c r="H218">
        <v>1</v>
      </c>
      <c r="I218">
        <v>274.16000000000003</v>
      </c>
      <c r="J218">
        <v>0.1</v>
      </c>
      <c r="K218" s="3">
        <v>27.415999999999997</v>
      </c>
      <c r="L218">
        <v>246.74400000000003</v>
      </c>
      <c r="M218">
        <v>56.354000000000042</v>
      </c>
      <c r="N218" t="str">
        <f>"P. "&amp;(Sales__tbl[[#This Row],[product_id]]&amp;"."&amp;TEXT(Sales__tbl[[#This Row],[selling_price]],"0.00"))</f>
        <v>P. P.id08.274.16</v>
      </c>
    </row>
    <row r="219" spans="1:14" x14ac:dyDescent="0.25">
      <c r="A219">
        <v>218</v>
      </c>
      <c r="B219" s="9" t="str">
        <f>TEXT(Sales__tbl[[#This Row],[date]],"MM")</f>
        <v>09</v>
      </c>
      <c r="C219" s="13">
        <v>45186</v>
      </c>
      <c r="D219" t="str">
        <f>_xlfn.XLOOKUP(Sales__tbl[[#This Row],[customer_id]],customer_tbl[customer_id],customer_tbl[Branch_id],"Not found")</f>
        <v>S01</v>
      </c>
      <c r="E219" t="s">
        <v>1029</v>
      </c>
      <c r="F219" t="s">
        <v>966</v>
      </c>
      <c r="G219" t="s">
        <v>851</v>
      </c>
      <c r="H219">
        <v>1</v>
      </c>
      <c r="I219">
        <v>196.75</v>
      </c>
      <c r="J219">
        <v>0.1</v>
      </c>
      <c r="K219" s="3">
        <v>19.674999999999983</v>
      </c>
      <c r="L219">
        <v>177.07500000000002</v>
      </c>
      <c r="M219">
        <v>20.925000000000011</v>
      </c>
      <c r="N219" t="str">
        <f>"P. "&amp;(Sales__tbl[[#This Row],[product_id]]&amp;"."&amp;TEXT(Sales__tbl[[#This Row],[selling_price]],"0.00"))</f>
        <v>P. P.id11.196.75</v>
      </c>
    </row>
    <row r="220" spans="1:14" x14ac:dyDescent="0.25">
      <c r="A220">
        <v>219</v>
      </c>
      <c r="B220" s="9" t="str">
        <f>TEXT(Sales__tbl[[#This Row],[date]],"MM")</f>
        <v>09</v>
      </c>
      <c r="C220" s="13">
        <v>45187</v>
      </c>
      <c r="D220" t="str">
        <f>_xlfn.XLOOKUP(Sales__tbl[[#This Row],[customer_id]],customer_tbl[customer_id],customer_tbl[Branch_id],"Not found")</f>
        <v>N01</v>
      </c>
      <c r="E220" t="s">
        <v>1146</v>
      </c>
      <c r="F220" t="s">
        <v>966</v>
      </c>
      <c r="G220" t="s">
        <v>851</v>
      </c>
      <c r="H220">
        <v>2</v>
      </c>
      <c r="I220">
        <v>196.75</v>
      </c>
      <c r="J220">
        <v>0.15</v>
      </c>
      <c r="K220" s="3">
        <v>59.025000000000034</v>
      </c>
      <c r="L220">
        <v>334.47499999999997</v>
      </c>
      <c r="M220">
        <v>22.174999999999955</v>
      </c>
      <c r="N220" t="str">
        <f>"P. "&amp;(Sales__tbl[[#This Row],[product_id]]&amp;"."&amp;TEXT(Sales__tbl[[#This Row],[selling_price]],"0.00"))</f>
        <v>P. P.id11.196.75</v>
      </c>
    </row>
    <row r="221" spans="1:14" x14ac:dyDescent="0.25">
      <c r="A221">
        <v>220</v>
      </c>
      <c r="B221" s="9" t="str">
        <f>TEXT(Sales__tbl[[#This Row],[date]],"MM")</f>
        <v>09</v>
      </c>
      <c r="C221" s="13">
        <v>45188</v>
      </c>
      <c r="D221" t="str">
        <f>_xlfn.XLOOKUP(Sales__tbl[[#This Row],[customer_id]],customer_tbl[customer_id],customer_tbl[Branch_id],"Not found")</f>
        <v>S02</v>
      </c>
      <c r="E221" t="s">
        <v>1071</v>
      </c>
      <c r="F221" t="s">
        <v>967</v>
      </c>
      <c r="G221" t="s">
        <v>872</v>
      </c>
      <c r="H221">
        <v>3</v>
      </c>
      <c r="I221">
        <v>91.73</v>
      </c>
      <c r="J221">
        <v>0.1</v>
      </c>
      <c r="K221" s="3">
        <v>27.519000000000005</v>
      </c>
      <c r="L221">
        <v>247.67099999999999</v>
      </c>
      <c r="M221">
        <v>18.350999999999999</v>
      </c>
      <c r="N221" t="str">
        <f>"P. "&amp;(Sales__tbl[[#This Row],[product_id]]&amp;"."&amp;TEXT(Sales__tbl[[#This Row],[selling_price]],"0.00"))</f>
        <v>P. P.id12.91.73</v>
      </c>
    </row>
    <row r="222" spans="1:14" x14ac:dyDescent="0.25">
      <c r="A222">
        <v>221</v>
      </c>
      <c r="B222" s="9" t="str">
        <f>TEXT(Sales__tbl[[#This Row],[date]],"MM")</f>
        <v>09</v>
      </c>
      <c r="C222" s="13">
        <v>45189</v>
      </c>
      <c r="D222" t="str">
        <f>_xlfn.XLOOKUP(Sales__tbl[[#This Row],[customer_id]],customer_tbl[customer_id],customer_tbl[Branch_id],"Not found")</f>
        <v>W02</v>
      </c>
      <c r="E222" t="s">
        <v>1117</v>
      </c>
      <c r="F222" t="s">
        <v>959</v>
      </c>
      <c r="G222" t="s">
        <v>837</v>
      </c>
      <c r="H222">
        <v>2</v>
      </c>
      <c r="I222">
        <v>11.53</v>
      </c>
      <c r="J222">
        <v>0</v>
      </c>
      <c r="K222" s="3">
        <v>0</v>
      </c>
      <c r="L222">
        <v>23.06</v>
      </c>
      <c r="M222">
        <v>5.0399999999999991</v>
      </c>
      <c r="N222" t="str">
        <f>"P. "&amp;(Sales__tbl[[#This Row],[product_id]]&amp;"."&amp;TEXT(Sales__tbl[[#This Row],[selling_price]],"0.00"))</f>
        <v>P. P.id04.11.53</v>
      </c>
    </row>
    <row r="223" spans="1:14" x14ac:dyDescent="0.25">
      <c r="A223">
        <v>222</v>
      </c>
      <c r="B223" s="9" t="str">
        <f>TEXT(Sales__tbl[[#This Row],[date]],"MM")</f>
        <v>09</v>
      </c>
      <c r="C223" s="13">
        <v>45190</v>
      </c>
      <c r="D223" t="str">
        <f>_xlfn.XLOOKUP(Sales__tbl[[#This Row],[customer_id]],customer_tbl[customer_id],customer_tbl[Branch_id],"Not found")</f>
        <v>S01</v>
      </c>
      <c r="E223" t="s">
        <v>1072</v>
      </c>
      <c r="F223" t="s">
        <v>957</v>
      </c>
      <c r="G223" t="s">
        <v>833</v>
      </c>
      <c r="H223">
        <v>1</v>
      </c>
      <c r="I223">
        <v>55.26</v>
      </c>
      <c r="J223">
        <v>0</v>
      </c>
      <c r="K223" s="3">
        <v>0</v>
      </c>
      <c r="L223">
        <v>55.26</v>
      </c>
      <c r="M223">
        <v>19.839999999999996</v>
      </c>
      <c r="N223" t="str">
        <f>"P. "&amp;(Sales__tbl[[#This Row],[product_id]]&amp;"."&amp;TEXT(Sales__tbl[[#This Row],[selling_price]],"0.00"))</f>
        <v>P. P.id02.55.26</v>
      </c>
    </row>
    <row r="224" spans="1:14" x14ac:dyDescent="0.25">
      <c r="A224">
        <v>223</v>
      </c>
      <c r="B224" s="9" t="str">
        <f>TEXT(Sales__tbl[[#This Row],[date]],"MM")</f>
        <v>09</v>
      </c>
      <c r="C224" s="13">
        <v>45191</v>
      </c>
      <c r="D224" t="str">
        <f>_xlfn.XLOOKUP(Sales__tbl[[#This Row],[customer_id]],customer_tbl[customer_id],customer_tbl[Branch_id],"Not found")</f>
        <v>C01</v>
      </c>
      <c r="E224" t="s">
        <v>1055</v>
      </c>
      <c r="F224" t="s">
        <v>962</v>
      </c>
      <c r="G224" t="s">
        <v>941</v>
      </c>
      <c r="H224">
        <v>1</v>
      </c>
      <c r="I224">
        <v>259.11</v>
      </c>
      <c r="J224">
        <v>0.1</v>
      </c>
      <c r="K224" s="3">
        <v>25.911000000000001</v>
      </c>
      <c r="L224">
        <v>233.19900000000001</v>
      </c>
      <c r="M224">
        <v>59.299000000000007</v>
      </c>
      <c r="N224" t="str">
        <f>"P. "&amp;(Sales__tbl[[#This Row],[product_id]]&amp;"."&amp;TEXT(Sales__tbl[[#This Row],[selling_price]],"0.00"))</f>
        <v>P. P.id07.259.11</v>
      </c>
    </row>
    <row r="225" spans="1:14" x14ac:dyDescent="0.25">
      <c r="A225">
        <v>224</v>
      </c>
      <c r="B225" s="9" t="str">
        <f>TEXT(Sales__tbl[[#This Row],[date]],"MM")</f>
        <v>09</v>
      </c>
      <c r="C225" s="13">
        <v>45192</v>
      </c>
      <c r="D225" t="str">
        <f>_xlfn.XLOOKUP(Sales__tbl[[#This Row],[customer_id]],customer_tbl[customer_id],customer_tbl[Branch_id],"Not found")</f>
        <v>W01</v>
      </c>
      <c r="E225" t="s">
        <v>1059</v>
      </c>
      <c r="F225" t="s">
        <v>967</v>
      </c>
      <c r="G225" t="s">
        <v>872</v>
      </c>
      <c r="H225">
        <v>1</v>
      </c>
      <c r="I225">
        <v>91.73</v>
      </c>
      <c r="J225">
        <v>0</v>
      </c>
      <c r="K225" s="3">
        <v>0</v>
      </c>
      <c r="L225">
        <v>91.73</v>
      </c>
      <c r="M225">
        <v>15.290000000000006</v>
      </c>
      <c r="N225" t="str">
        <f>"P. "&amp;(Sales__tbl[[#This Row],[product_id]]&amp;"."&amp;TEXT(Sales__tbl[[#This Row],[selling_price]],"0.00"))</f>
        <v>P. P.id12.91.73</v>
      </c>
    </row>
    <row r="226" spans="1:14" x14ac:dyDescent="0.25">
      <c r="A226">
        <v>225</v>
      </c>
      <c r="B226" s="9" t="str">
        <f>TEXT(Sales__tbl[[#This Row],[date]],"MM")</f>
        <v>09</v>
      </c>
      <c r="C226" s="13">
        <v>45193</v>
      </c>
      <c r="D226" t="str">
        <f>_xlfn.XLOOKUP(Sales__tbl[[#This Row],[customer_id]],customer_tbl[customer_id],customer_tbl[Branch_id],"Not found")</f>
        <v>W02</v>
      </c>
      <c r="E226" t="s">
        <v>1147</v>
      </c>
      <c r="F226" t="s">
        <v>964</v>
      </c>
      <c r="G226" t="s">
        <v>943</v>
      </c>
      <c r="H226">
        <v>1</v>
      </c>
      <c r="I226">
        <v>190.58</v>
      </c>
      <c r="J226">
        <v>0.1</v>
      </c>
      <c r="K226" s="3">
        <v>19.057999999999993</v>
      </c>
      <c r="L226">
        <v>171.52200000000002</v>
      </c>
      <c r="M226">
        <v>23.782000000000011</v>
      </c>
      <c r="N226" t="str">
        <f>"P. "&amp;(Sales__tbl[[#This Row],[product_id]]&amp;"."&amp;TEXT(Sales__tbl[[#This Row],[selling_price]],"0.00"))</f>
        <v>P. P.id09.190.58</v>
      </c>
    </row>
    <row r="227" spans="1:14" x14ac:dyDescent="0.25">
      <c r="A227">
        <v>226</v>
      </c>
      <c r="B227" s="9" t="str">
        <f>TEXT(Sales__tbl[[#This Row],[date]],"MM")</f>
        <v>09</v>
      </c>
      <c r="C227" s="13">
        <v>45194</v>
      </c>
      <c r="D227" t="str">
        <f>_xlfn.XLOOKUP(Sales__tbl[[#This Row],[customer_id]],customer_tbl[customer_id],customer_tbl[Branch_id],"Not found")</f>
        <v>C01</v>
      </c>
      <c r="E227" t="s">
        <v>1148</v>
      </c>
      <c r="F227" t="s">
        <v>967</v>
      </c>
      <c r="G227" t="s">
        <v>872</v>
      </c>
      <c r="H227">
        <v>1</v>
      </c>
      <c r="I227">
        <v>91.73</v>
      </c>
      <c r="J227">
        <v>0</v>
      </c>
      <c r="K227" s="3">
        <v>0</v>
      </c>
      <c r="L227">
        <v>91.73</v>
      </c>
      <c r="M227">
        <v>15.290000000000006</v>
      </c>
      <c r="N227" t="str">
        <f>"P. "&amp;(Sales__tbl[[#This Row],[product_id]]&amp;"."&amp;TEXT(Sales__tbl[[#This Row],[selling_price]],"0.00"))</f>
        <v>P. P.id12.91.73</v>
      </c>
    </row>
    <row r="228" spans="1:14" x14ac:dyDescent="0.25">
      <c r="A228">
        <v>227</v>
      </c>
      <c r="B228" s="9" t="str">
        <f>TEXT(Sales__tbl[[#This Row],[date]],"MM")</f>
        <v>09</v>
      </c>
      <c r="C228" s="13">
        <v>45195</v>
      </c>
      <c r="D228" t="str">
        <f>_xlfn.XLOOKUP(Sales__tbl[[#This Row],[customer_id]],customer_tbl[customer_id],customer_tbl[Branch_id],"Not found")</f>
        <v>E02</v>
      </c>
      <c r="E228" t="s">
        <v>1119</v>
      </c>
      <c r="F228" t="s">
        <v>961</v>
      </c>
      <c r="G228" t="s">
        <v>940</v>
      </c>
      <c r="H228">
        <v>1</v>
      </c>
      <c r="I228">
        <v>66.790000000000006</v>
      </c>
      <c r="J228">
        <v>0</v>
      </c>
      <c r="K228" s="3">
        <v>0</v>
      </c>
      <c r="L228">
        <v>66.790000000000006</v>
      </c>
      <c r="M228">
        <v>22.850000000000009</v>
      </c>
      <c r="N228" t="str">
        <f>"P. "&amp;(Sales__tbl[[#This Row],[product_id]]&amp;"."&amp;TEXT(Sales__tbl[[#This Row],[selling_price]],"0.00"))</f>
        <v>P. P.id06.66.79</v>
      </c>
    </row>
    <row r="229" spans="1:14" x14ac:dyDescent="0.25">
      <c r="A229">
        <v>228</v>
      </c>
      <c r="B229" s="9" t="str">
        <f>TEXT(Sales__tbl[[#This Row],[date]],"MM")</f>
        <v>09</v>
      </c>
      <c r="C229" s="13">
        <v>45196</v>
      </c>
      <c r="D229" t="str">
        <f>_xlfn.XLOOKUP(Sales__tbl[[#This Row],[customer_id]],customer_tbl[customer_id],customer_tbl[Branch_id],"Not found")</f>
        <v>C02</v>
      </c>
      <c r="E229" t="s">
        <v>1000</v>
      </c>
      <c r="F229" t="s">
        <v>962</v>
      </c>
      <c r="G229" t="s">
        <v>941</v>
      </c>
      <c r="H229">
        <v>1</v>
      </c>
      <c r="I229">
        <v>259.11</v>
      </c>
      <c r="J229">
        <v>0.1</v>
      </c>
      <c r="K229" s="3">
        <v>25.911000000000001</v>
      </c>
      <c r="L229">
        <v>233.19900000000001</v>
      </c>
      <c r="M229">
        <v>59.299000000000007</v>
      </c>
      <c r="N229" t="str">
        <f>"P. "&amp;(Sales__tbl[[#This Row],[product_id]]&amp;"."&amp;TEXT(Sales__tbl[[#This Row],[selling_price]],"0.00"))</f>
        <v>P. P.id07.259.11</v>
      </c>
    </row>
    <row r="230" spans="1:14" x14ac:dyDescent="0.25">
      <c r="A230">
        <v>229</v>
      </c>
      <c r="B230" s="9" t="str">
        <f>TEXT(Sales__tbl[[#This Row],[date]],"MM")</f>
        <v>09</v>
      </c>
      <c r="C230" s="13">
        <v>45197</v>
      </c>
      <c r="D230" t="str">
        <f>_xlfn.XLOOKUP(Sales__tbl[[#This Row],[customer_id]],customer_tbl[customer_id],customer_tbl[Branch_id],"Not found")</f>
        <v>N01</v>
      </c>
      <c r="E230" t="s">
        <v>1145</v>
      </c>
      <c r="F230" t="s">
        <v>963</v>
      </c>
      <c r="G230" t="s">
        <v>942</v>
      </c>
      <c r="H230">
        <v>2</v>
      </c>
      <c r="I230">
        <v>274.16000000000003</v>
      </c>
      <c r="J230">
        <v>0.2</v>
      </c>
      <c r="K230" s="3">
        <v>109.66399999999999</v>
      </c>
      <c r="L230">
        <v>438.65600000000006</v>
      </c>
      <c r="M230">
        <v>57.87600000000009</v>
      </c>
      <c r="N230" t="str">
        <f>"P. "&amp;(Sales__tbl[[#This Row],[product_id]]&amp;"."&amp;TEXT(Sales__tbl[[#This Row],[selling_price]],"0.00"))</f>
        <v>P. P.id08.274.16</v>
      </c>
    </row>
    <row r="231" spans="1:14" x14ac:dyDescent="0.25">
      <c r="A231">
        <v>230</v>
      </c>
      <c r="B231" s="9" t="str">
        <f>TEXT(Sales__tbl[[#This Row],[date]],"MM")</f>
        <v>09</v>
      </c>
      <c r="C231" s="13">
        <v>45198</v>
      </c>
      <c r="D231" t="str">
        <f>_xlfn.XLOOKUP(Sales__tbl[[#This Row],[customer_id]],customer_tbl[customer_id],customer_tbl[Branch_id],"Not found")</f>
        <v>S01</v>
      </c>
      <c r="E231" t="s">
        <v>1042</v>
      </c>
      <c r="F231" t="s">
        <v>956</v>
      </c>
      <c r="G231" t="s">
        <v>831</v>
      </c>
      <c r="H231">
        <v>1</v>
      </c>
      <c r="I231">
        <v>303.48</v>
      </c>
      <c r="J231">
        <v>0.15</v>
      </c>
      <c r="K231" s="3">
        <v>45.521999999999991</v>
      </c>
      <c r="L231">
        <v>257.95800000000003</v>
      </c>
      <c r="M231">
        <v>64.658000000000015</v>
      </c>
      <c r="N231" t="str">
        <f>"P. "&amp;(Sales__tbl[[#This Row],[product_id]]&amp;"."&amp;TEXT(Sales__tbl[[#This Row],[selling_price]],"0.00"))</f>
        <v>P. P.id01.303.48</v>
      </c>
    </row>
    <row r="232" spans="1:14" x14ac:dyDescent="0.25">
      <c r="A232">
        <v>231</v>
      </c>
      <c r="B232" s="9" t="str">
        <f>TEXT(Sales__tbl[[#This Row],[date]],"MM")</f>
        <v>09</v>
      </c>
      <c r="C232" s="13">
        <v>45199</v>
      </c>
      <c r="D232" t="str">
        <f>_xlfn.XLOOKUP(Sales__tbl[[#This Row],[customer_id]],customer_tbl[customer_id],customer_tbl[Branch_id],"Not found")</f>
        <v>E01</v>
      </c>
      <c r="E232" t="s">
        <v>1011</v>
      </c>
      <c r="F232" t="s">
        <v>964</v>
      </c>
      <c r="G232" t="s">
        <v>943</v>
      </c>
      <c r="H232">
        <v>2</v>
      </c>
      <c r="I232">
        <v>190.58</v>
      </c>
      <c r="J232">
        <v>0.15</v>
      </c>
      <c r="K232" s="3">
        <v>57.174000000000035</v>
      </c>
      <c r="L232">
        <v>323.98599999999999</v>
      </c>
      <c r="M232">
        <v>28.505999999999972</v>
      </c>
      <c r="N232" t="str">
        <f>"P. "&amp;(Sales__tbl[[#This Row],[product_id]]&amp;"."&amp;TEXT(Sales__tbl[[#This Row],[selling_price]],"0.00"))</f>
        <v>P. P.id09.190.58</v>
      </c>
    </row>
    <row r="233" spans="1:14" x14ac:dyDescent="0.25">
      <c r="A233">
        <v>232</v>
      </c>
      <c r="B233" s="9" t="str">
        <f>TEXT(Sales__tbl[[#This Row],[date]],"MM")</f>
        <v>10</v>
      </c>
      <c r="C233" s="13">
        <v>45200</v>
      </c>
      <c r="D233" t="str">
        <f>_xlfn.XLOOKUP(Sales__tbl[[#This Row],[customer_id]],customer_tbl[customer_id],customer_tbl[Branch_id],"Not found")</f>
        <v>N01</v>
      </c>
      <c r="E233" t="s">
        <v>1069</v>
      </c>
      <c r="F233" t="s">
        <v>965</v>
      </c>
      <c r="G233" t="s">
        <v>847</v>
      </c>
      <c r="H233">
        <v>1</v>
      </c>
      <c r="I233">
        <v>168</v>
      </c>
      <c r="J233">
        <v>0.1</v>
      </c>
      <c r="K233" s="3">
        <v>16.799999999999983</v>
      </c>
      <c r="L233">
        <v>151.20000000000002</v>
      </c>
      <c r="M233">
        <v>29.460000000000022</v>
      </c>
      <c r="N233" t="str">
        <f>"P. "&amp;(Sales__tbl[[#This Row],[product_id]]&amp;"."&amp;TEXT(Sales__tbl[[#This Row],[selling_price]],"0.00"))</f>
        <v>P. P.id10.168.00</v>
      </c>
    </row>
    <row r="234" spans="1:14" x14ac:dyDescent="0.25">
      <c r="A234">
        <v>233</v>
      </c>
      <c r="B234" s="9" t="str">
        <f>TEXT(Sales__tbl[[#This Row],[date]],"MM")</f>
        <v>10</v>
      </c>
      <c r="C234" s="13">
        <v>45201</v>
      </c>
      <c r="D234" t="str">
        <f>_xlfn.XLOOKUP(Sales__tbl[[#This Row],[customer_id]],customer_tbl[customer_id],customer_tbl[Branch_id],"Not found")</f>
        <v>E02</v>
      </c>
      <c r="E234" t="s">
        <v>1149</v>
      </c>
      <c r="F234" t="s">
        <v>966</v>
      </c>
      <c r="G234" t="s">
        <v>851</v>
      </c>
      <c r="H234">
        <v>1</v>
      </c>
      <c r="I234">
        <v>196.75</v>
      </c>
      <c r="J234">
        <v>0.1</v>
      </c>
      <c r="K234" s="3">
        <v>19.674999999999983</v>
      </c>
      <c r="L234">
        <v>177.07500000000002</v>
      </c>
      <c r="M234">
        <v>20.925000000000011</v>
      </c>
      <c r="N234" t="str">
        <f>"P. "&amp;(Sales__tbl[[#This Row],[product_id]]&amp;"."&amp;TEXT(Sales__tbl[[#This Row],[selling_price]],"0.00"))</f>
        <v>P. P.id11.196.75</v>
      </c>
    </row>
    <row r="235" spans="1:14" x14ac:dyDescent="0.25">
      <c r="A235">
        <v>234</v>
      </c>
      <c r="B235" s="9" t="str">
        <f>TEXT(Sales__tbl[[#This Row],[date]],"MM")</f>
        <v>10</v>
      </c>
      <c r="C235" s="13">
        <v>45202</v>
      </c>
      <c r="D235" t="str">
        <f>_xlfn.XLOOKUP(Sales__tbl[[#This Row],[customer_id]],customer_tbl[customer_id],customer_tbl[Branch_id],"Not found")</f>
        <v>W02</v>
      </c>
      <c r="E235" t="s">
        <v>1022</v>
      </c>
      <c r="F235" t="s">
        <v>960</v>
      </c>
      <c r="G235" t="s">
        <v>839</v>
      </c>
      <c r="H235">
        <v>2</v>
      </c>
      <c r="I235">
        <v>165.45</v>
      </c>
      <c r="J235">
        <v>0.15</v>
      </c>
      <c r="K235" s="3">
        <v>49.634999999999991</v>
      </c>
      <c r="L235">
        <v>281.26499999999999</v>
      </c>
      <c r="M235">
        <v>34.324999999999989</v>
      </c>
      <c r="N235" t="str">
        <f>"P. "&amp;(Sales__tbl[[#This Row],[product_id]]&amp;"."&amp;TEXT(Sales__tbl[[#This Row],[selling_price]],"0.00"))</f>
        <v>P. P.id05.165.45</v>
      </c>
    </row>
    <row r="236" spans="1:14" x14ac:dyDescent="0.25">
      <c r="A236">
        <v>235</v>
      </c>
      <c r="B236" s="9" t="str">
        <f>TEXT(Sales__tbl[[#This Row],[date]],"MM")</f>
        <v>10</v>
      </c>
      <c r="C236" s="13">
        <v>45203</v>
      </c>
      <c r="D236" t="str">
        <f>_xlfn.XLOOKUP(Sales__tbl[[#This Row],[customer_id]],customer_tbl[customer_id],customer_tbl[Branch_id],"Not found")</f>
        <v>E01</v>
      </c>
      <c r="E236" t="s">
        <v>1150</v>
      </c>
      <c r="F236" t="s">
        <v>960</v>
      </c>
      <c r="G236" t="s">
        <v>839</v>
      </c>
      <c r="H236">
        <v>1</v>
      </c>
      <c r="I236">
        <v>165.45</v>
      </c>
      <c r="J236">
        <v>0.1</v>
      </c>
      <c r="K236" s="3">
        <v>16.544999999999987</v>
      </c>
      <c r="L236">
        <v>148.905</v>
      </c>
      <c r="M236">
        <v>25.435000000000002</v>
      </c>
      <c r="N236" t="str">
        <f>"P. "&amp;(Sales__tbl[[#This Row],[product_id]]&amp;"."&amp;TEXT(Sales__tbl[[#This Row],[selling_price]],"0.00"))</f>
        <v>P. P.id05.165.45</v>
      </c>
    </row>
    <row r="237" spans="1:14" x14ac:dyDescent="0.25">
      <c r="A237">
        <v>236</v>
      </c>
      <c r="B237" s="9" t="str">
        <f>TEXT(Sales__tbl[[#This Row],[date]],"MM")</f>
        <v>10</v>
      </c>
      <c r="C237" s="13">
        <v>45204</v>
      </c>
      <c r="D237" t="str">
        <f>_xlfn.XLOOKUP(Sales__tbl[[#This Row],[customer_id]],customer_tbl[customer_id],customer_tbl[Branch_id],"Not found")</f>
        <v>S01</v>
      </c>
      <c r="E237" t="s">
        <v>1151</v>
      </c>
      <c r="F237" t="s">
        <v>959</v>
      </c>
      <c r="G237" t="s">
        <v>837</v>
      </c>
      <c r="H237">
        <v>2</v>
      </c>
      <c r="I237">
        <v>11.53</v>
      </c>
      <c r="J237">
        <v>0</v>
      </c>
      <c r="K237" s="3">
        <v>0</v>
      </c>
      <c r="L237">
        <v>23.06</v>
      </c>
      <c r="M237">
        <v>5.0399999999999991</v>
      </c>
      <c r="N237" t="str">
        <f>"P. "&amp;(Sales__tbl[[#This Row],[product_id]]&amp;"."&amp;TEXT(Sales__tbl[[#This Row],[selling_price]],"0.00"))</f>
        <v>P. P.id04.11.53</v>
      </c>
    </row>
    <row r="238" spans="1:14" x14ac:dyDescent="0.25">
      <c r="A238">
        <v>237</v>
      </c>
      <c r="B238" s="9" t="str">
        <f>TEXT(Sales__tbl[[#This Row],[date]],"MM")</f>
        <v>10</v>
      </c>
      <c r="C238" s="13">
        <v>45205</v>
      </c>
      <c r="D238" t="str">
        <f>_xlfn.XLOOKUP(Sales__tbl[[#This Row],[customer_id]],customer_tbl[customer_id],customer_tbl[Branch_id],"Not found")</f>
        <v>N01</v>
      </c>
      <c r="E238" t="s">
        <v>1145</v>
      </c>
      <c r="F238" t="s">
        <v>963</v>
      </c>
      <c r="G238" t="s">
        <v>942</v>
      </c>
      <c r="H238">
        <v>1</v>
      </c>
      <c r="I238">
        <v>274.16000000000003</v>
      </c>
      <c r="J238">
        <v>0.1</v>
      </c>
      <c r="K238" s="3">
        <v>27.415999999999997</v>
      </c>
      <c r="L238">
        <v>246.74400000000003</v>
      </c>
      <c r="M238">
        <v>56.354000000000042</v>
      </c>
      <c r="N238" t="str">
        <f>"P. "&amp;(Sales__tbl[[#This Row],[product_id]]&amp;"."&amp;TEXT(Sales__tbl[[#This Row],[selling_price]],"0.00"))</f>
        <v>P. P.id08.274.16</v>
      </c>
    </row>
    <row r="239" spans="1:14" x14ac:dyDescent="0.25">
      <c r="A239">
        <v>238</v>
      </c>
      <c r="B239" s="9" t="str">
        <f>TEXT(Sales__tbl[[#This Row],[date]],"MM")</f>
        <v>10</v>
      </c>
      <c r="C239" s="13">
        <v>45206</v>
      </c>
      <c r="D239" t="str">
        <f>_xlfn.XLOOKUP(Sales__tbl[[#This Row],[customer_id]],customer_tbl[customer_id],customer_tbl[Branch_id],"Not found")</f>
        <v>N01</v>
      </c>
      <c r="E239" t="s">
        <v>1016</v>
      </c>
      <c r="F239" t="s">
        <v>963</v>
      </c>
      <c r="G239" t="s">
        <v>942</v>
      </c>
      <c r="H239">
        <v>1</v>
      </c>
      <c r="I239">
        <v>274.16000000000003</v>
      </c>
      <c r="J239">
        <v>0.1</v>
      </c>
      <c r="K239" s="3">
        <v>27.415999999999997</v>
      </c>
      <c r="L239">
        <v>246.74400000000003</v>
      </c>
      <c r="M239">
        <v>56.354000000000042</v>
      </c>
      <c r="N239" t="str">
        <f>"P. "&amp;(Sales__tbl[[#This Row],[product_id]]&amp;"."&amp;TEXT(Sales__tbl[[#This Row],[selling_price]],"0.00"))</f>
        <v>P. P.id08.274.16</v>
      </c>
    </row>
    <row r="240" spans="1:14" x14ac:dyDescent="0.25">
      <c r="A240">
        <v>239</v>
      </c>
      <c r="B240" s="9" t="str">
        <f>TEXT(Sales__tbl[[#This Row],[date]],"MM")</f>
        <v>10</v>
      </c>
      <c r="C240" s="13">
        <v>45207</v>
      </c>
      <c r="D240" t="str">
        <f>_xlfn.XLOOKUP(Sales__tbl[[#This Row],[customer_id]],customer_tbl[customer_id],customer_tbl[Branch_id],"Not found")</f>
        <v>S02</v>
      </c>
      <c r="E240" t="s">
        <v>1132</v>
      </c>
      <c r="F240" t="s">
        <v>959</v>
      </c>
      <c r="G240" t="s">
        <v>837</v>
      </c>
      <c r="H240">
        <v>2</v>
      </c>
      <c r="I240">
        <v>11.53</v>
      </c>
      <c r="J240">
        <v>0</v>
      </c>
      <c r="K240" s="3">
        <v>0</v>
      </c>
      <c r="L240">
        <v>23.06</v>
      </c>
      <c r="M240">
        <v>5.0399999999999991</v>
      </c>
      <c r="N240" t="str">
        <f>"P. "&amp;(Sales__tbl[[#This Row],[product_id]]&amp;"."&amp;TEXT(Sales__tbl[[#This Row],[selling_price]],"0.00"))</f>
        <v>P. P.id04.11.53</v>
      </c>
    </row>
    <row r="241" spans="1:14" x14ac:dyDescent="0.25">
      <c r="A241">
        <v>240</v>
      </c>
      <c r="B241" s="9" t="str">
        <f>TEXT(Sales__tbl[[#This Row],[date]],"MM")</f>
        <v>10</v>
      </c>
      <c r="C241" s="13">
        <v>45208</v>
      </c>
      <c r="D241" t="str">
        <f>_xlfn.XLOOKUP(Sales__tbl[[#This Row],[customer_id]],customer_tbl[customer_id],customer_tbl[Branch_id],"Not found")</f>
        <v>W02</v>
      </c>
      <c r="E241" t="s">
        <v>1099</v>
      </c>
      <c r="F241" t="s">
        <v>965</v>
      </c>
      <c r="G241" t="s">
        <v>847</v>
      </c>
      <c r="H241">
        <v>2</v>
      </c>
      <c r="I241">
        <v>168</v>
      </c>
      <c r="J241">
        <v>0.15</v>
      </c>
      <c r="K241" s="3">
        <v>50.400000000000034</v>
      </c>
      <c r="L241">
        <v>285.59999999999997</v>
      </c>
      <c r="M241">
        <v>42.119999999999976</v>
      </c>
      <c r="N241" t="str">
        <f>"P. "&amp;(Sales__tbl[[#This Row],[product_id]]&amp;"."&amp;TEXT(Sales__tbl[[#This Row],[selling_price]],"0.00"))</f>
        <v>P. P.id10.168.00</v>
      </c>
    </row>
    <row r="242" spans="1:14" x14ac:dyDescent="0.25">
      <c r="A242">
        <v>241</v>
      </c>
      <c r="B242" s="9" t="str">
        <f>TEXT(Sales__tbl[[#This Row],[date]],"MM")</f>
        <v>10</v>
      </c>
      <c r="C242" s="13">
        <v>45209</v>
      </c>
      <c r="D242" t="str">
        <f>_xlfn.XLOOKUP(Sales__tbl[[#This Row],[customer_id]],customer_tbl[customer_id],customer_tbl[Branch_id],"Not found")</f>
        <v>S02</v>
      </c>
      <c r="E242" t="s">
        <v>1090</v>
      </c>
      <c r="F242" t="s">
        <v>958</v>
      </c>
      <c r="G242" t="s">
        <v>939</v>
      </c>
      <c r="H242">
        <v>1</v>
      </c>
      <c r="I242">
        <v>90.53</v>
      </c>
      <c r="J242">
        <v>0</v>
      </c>
      <c r="K242" s="3">
        <v>0</v>
      </c>
      <c r="L242">
        <v>90.53</v>
      </c>
      <c r="M242">
        <v>12.489999999999995</v>
      </c>
      <c r="N242" t="str">
        <f>"P. "&amp;(Sales__tbl[[#This Row],[product_id]]&amp;"."&amp;TEXT(Sales__tbl[[#This Row],[selling_price]],"0.00"))</f>
        <v>P. P.id03.90.53</v>
      </c>
    </row>
    <row r="243" spans="1:14" x14ac:dyDescent="0.25">
      <c r="A243">
        <v>242</v>
      </c>
      <c r="B243" s="9" t="str">
        <f>TEXT(Sales__tbl[[#This Row],[date]],"MM")</f>
        <v>10</v>
      </c>
      <c r="C243" s="13">
        <v>45210</v>
      </c>
      <c r="D243" t="str">
        <f>_xlfn.XLOOKUP(Sales__tbl[[#This Row],[customer_id]],customer_tbl[customer_id],customer_tbl[Branch_id],"Not found")</f>
        <v>C01</v>
      </c>
      <c r="E243" t="s">
        <v>1152</v>
      </c>
      <c r="F243" t="s">
        <v>957</v>
      </c>
      <c r="G243" t="s">
        <v>833</v>
      </c>
      <c r="H243">
        <v>1</v>
      </c>
      <c r="I243">
        <v>55.26</v>
      </c>
      <c r="J243">
        <v>0</v>
      </c>
      <c r="K243" s="3">
        <v>0</v>
      </c>
      <c r="L243">
        <v>55.26</v>
      </c>
      <c r="M243">
        <v>19.839999999999996</v>
      </c>
      <c r="N243" t="str">
        <f>"P. "&amp;(Sales__tbl[[#This Row],[product_id]]&amp;"."&amp;TEXT(Sales__tbl[[#This Row],[selling_price]],"0.00"))</f>
        <v>P. P.id02.55.26</v>
      </c>
    </row>
    <row r="244" spans="1:14" x14ac:dyDescent="0.25">
      <c r="A244">
        <v>243</v>
      </c>
      <c r="B244" s="9" t="str">
        <f>TEXT(Sales__tbl[[#This Row],[date]],"MM")</f>
        <v>10</v>
      </c>
      <c r="C244" s="13">
        <v>45211</v>
      </c>
      <c r="D244" t="str">
        <f>_xlfn.XLOOKUP(Sales__tbl[[#This Row],[customer_id]],customer_tbl[customer_id],customer_tbl[Branch_id],"Not found")</f>
        <v>C02</v>
      </c>
      <c r="E244" t="s">
        <v>1138</v>
      </c>
      <c r="F244" t="s">
        <v>956</v>
      </c>
      <c r="G244" t="s">
        <v>831</v>
      </c>
      <c r="H244">
        <v>1</v>
      </c>
      <c r="I244">
        <v>303.48</v>
      </c>
      <c r="J244">
        <v>0.15</v>
      </c>
      <c r="K244" s="3">
        <v>45.521999999999991</v>
      </c>
      <c r="L244">
        <v>257.95800000000003</v>
      </c>
      <c r="M244">
        <v>64.658000000000015</v>
      </c>
      <c r="N244" t="str">
        <f>"P. "&amp;(Sales__tbl[[#This Row],[product_id]]&amp;"."&amp;TEXT(Sales__tbl[[#This Row],[selling_price]],"0.00"))</f>
        <v>P. P.id01.303.48</v>
      </c>
    </row>
    <row r="245" spans="1:14" x14ac:dyDescent="0.25">
      <c r="A245">
        <v>244</v>
      </c>
      <c r="B245" s="9" t="str">
        <f>TEXT(Sales__tbl[[#This Row],[date]],"MM")</f>
        <v>10</v>
      </c>
      <c r="C245" s="13">
        <v>45212</v>
      </c>
      <c r="D245" t="str">
        <f>_xlfn.XLOOKUP(Sales__tbl[[#This Row],[customer_id]],customer_tbl[customer_id],customer_tbl[Branch_id],"Not found")</f>
        <v>S01</v>
      </c>
      <c r="E245" t="s">
        <v>1063</v>
      </c>
      <c r="F245" t="s">
        <v>959</v>
      </c>
      <c r="G245" t="s">
        <v>837</v>
      </c>
      <c r="H245">
        <v>3</v>
      </c>
      <c r="I245">
        <v>11.53</v>
      </c>
      <c r="J245">
        <v>0</v>
      </c>
      <c r="K245" s="3">
        <v>0</v>
      </c>
      <c r="L245">
        <v>34.589999999999996</v>
      </c>
      <c r="M245">
        <v>7.5599999999999952</v>
      </c>
      <c r="N245" t="str">
        <f>"P. "&amp;(Sales__tbl[[#This Row],[product_id]]&amp;"."&amp;TEXT(Sales__tbl[[#This Row],[selling_price]],"0.00"))</f>
        <v>P. P.id04.11.53</v>
      </c>
    </row>
    <row r="246" spans="1:14" x14ac:dyDescent="0.25">
      <c r="A246">
        <v>245</v>
      </c>
      <c r="B246" s="9" t="str">
        <f>TEXT(Sales__tbl[[#This Row],[date]],"MM")</f>
        <v>10</v>
      </c>
      <c r="C246" s="13">
        <v>45213</v>
      </c>
      <c r="D246" t="str">
        <f>_xlfn.XLOOKUP(Sales__tbl[[#This Row],[customer_id]],customer_tbl[customer_id],customer_tbl[Branch_id],"Not found")</f>
        <v>S02</v>
      </c>
      <c r="E246" t="s">
        <v>1153</v>
      </c>
      <c r="F246" t="s">
        <v>959</v>
      </c>
      <c r="G246" t="s">
        <v>837</v>
      </c>
      <c r="H246">
        <v>1</v>
      </c>
      <c r="I246">
        <v>11.53</v>
      </c>
      <c r="J246">
        <v>0</v>
      </c>
      <c r="K246" s="3">
        <v>0</v>
      </c>
      <c r="L246">
        <v>11.53</v>
      </c>
      <c r="M246">
        <v>2.5199999999999996</v>
      </c>
      <c r="N246" t="str">
        <f>"P. "&amp;(Sales__tbl[[#This Row],[product_id]]&amp;"."&amp;TEXT(Sales__tbl[[#This Row],[selling_price]],"0.00"))</f>
        <v>P. P.id04.11.53</v>
      </c>
    </row>
    <row r="247" spans="1:14" x14ac:dyDescent="0.25">
      <c r="A247">
        <v>246</v>
      </c>
      <c r="B247" s="9" t="str">
        <f>TEXT(Sales__tbl[[#This Row],[date]],"MM")</f>
        <v>10</v>
      </c>
      <c r="C247" s="13">
        <v>45214</v>
      </c>
      <c r="D247" t="str">
        <f>_xlfn.XLOOKUP(Sales__tbl[[#This Row],[customer_id]],customer_tbl[customer_id],customer_tbl[Branch_id],"Not found")</f>
        <v>C01</v>
      </c>
      <c r="E247" t="s">
        <v>1055</v>
      </c>
      <c r="F247" t="s">
        <v>959</v>
      </c>
      <c r="G247" t="s">
        <v>837</v>
      </c>
      <c r="H247">
        <v>1</v>
      </c>
      <c r="I247">
        <v>11.53</v>
      </c>
      <c r="J247">
        <v>0</v>
      </c>
      <c r="K247" s="3">
        <v>0</v>
      </c>
      <c r="L247">
        <v>11.53</v>
      </c>
      <c r="M247">
        <v>2.5199999999999996</v>
      </c>
      <c r="N247" t="str">
        <f>"P. "&amp;(Sales__tbl[[#This Row],[product_id]]&amp;"."&amp;TEXT(Sales__tbl[[#This Row],[selling_price]],"0.00"))</f>
        <v>P. P.id04.11.53</v>
      </c>
    </row>
    <row r="248" spans="1:14" x14ac:dyDescent="0.25">
      <c r="A248">
        <v>247</v>
      </c>
      <c r="B248" s="9" t="str">
        <f>TEXT(Sales__tbl[[#This Row],[date]],"MM")</f>
        <v>10</v>
      </c>
      <c r="C248" s="13">
        <v>45215</v>
      </c>
      <c r="D248" t="str">
        <f>_xlfn.XLOOKUP(Sales__tbl[[#This Row],[customer_id]],customer_tbl[customer_id],customer_tbl[Branch_id],"Not found")</f>
        <v>W01</v>
      </c>
      <c r="E248" t="s">
        <v>995</v>
      </c>
      <c r="F248" t="s">
        <v>961</v>
      </c>
      <c r="G248" t="s">
        <v>940</v>
      </c>
      <c r="H248">
        <v>1</v>
      </c>
      <c r="I248">
        <v>66.790000000000006</v>
      </c>
      <c r="J248">
        <v>0</v>
      </c>
      <c r="K248" s="3">
        <v>0</v>
      </c>
      <c r="L248">
        <v>66.790000000000006</v>
      </c>
      <c r="M248">
        <v>22.850000000000009</v>
      </c>
      <c r="N248" t="str">
        <f>"P. "&amp;(Sales__tbl[[#This Row],[product_id]]&amp;"."&amp;TEXT(Sales__tbl[[#This Row],[selling_price]],"0.00"))</f>
        <v>P. P.id06.66.79</v>
      </c>
    </row>
    <row r="249" spans="1:14" x14ac:dyDescent="0.25">
      <c r="A249">
        <v>248</v>
      </c>
      <c r="B249" s="9" t="str">
        <f>TEXT(Sales__tbl[[#This Row],[date]],"MM")</f>
        <v>10</v>
      </c>
      <c r="C249" s="13">
        <v>45216</v>
      </c>
      <c r="D249" t="str">
        <f>_xlfn.XLOOKUP(Sales__tbl[[#This Row],[customer_id]],customer_tbl[customer_id],customer_tbl[Branch_id],"Not found")</f>
        <v>E02</v>
      </c>
      <c r="E249" t="s">
        <v>1154</v>
      </c>
      <c r="F249" t="s">
        <v>965</v>
      </c>
      <c r="G249" t="s">
        <v>847</v>
      </c>
      <c r="H249">
        <v>1</v>
      </c>
      <c r="I249">
        <v>168</v>
      </c>
      <c r="J249">
        <v>0.1</v>
      </c>
      <c r="K249" s="3">
        <v>16.799999999999983</v>
      </c>
      <c r="L249">
        <v>151.20000000000002</v>
      </c>
      <c r="M249">
        <v>29.460000000000022</v>
      </c>
      <c r="N249" t="str">
        <f>"P. "&amp;(Sales__tbl[[#This Row],[product_id]]&amp;"."&amp;TEXT(Sales__tbl[[#This Row],[selling_price]],"0.00"))</f>
        <v>P. P.id10.168.00</v>
      </c>
    </row>
    <row r="250" spans="1:14" x14ac:dyDescent="0.25">
      <c r="A250">
        <v>249</v>
      </c>
      <c r="B250" s="9" t="str">
        <f>TEXT(Sales__tbl[[#This Row],[date]],"MM")</f>
        <v>10</v>
      </c>
      <c r="C250" s="13">
        <v>45217</v>
      </c>
      <c r="D250" t="str">
        <f>_xlfn.XLOOKUP(Sales__tbl[[#This Row],[customer_id]],customer_tbl[customer_id],customer_tbl[Branch_id],"Not found")</f>
        <v>W01</v>
      </c>
      <c r="E250" t="s">
        <v>1082</v>
      </c>
      <c r="F250" t="s">
        <v>959</v>
      </c>
      <c r="G250" t="s">
        <v>837</v>
      </c>
      <c r="H250">
        <v>1</v>
      </c>
      <c r="I250">
        <v>11.53</v>
      </c>
      <c r="J250">
        <v>0</v>
      </c>
      <c r="K250" s="3">
        <v>0</v>
      </c>
      <c r="L250">
        <v>11.53</v>
      </c>
      <c r="M250">
        <v>2.5199999999999996</v>
      </c>
      <c r="N250" t="str">
        <f>"P. "&amp;(Sales__tbl[[#This Row],[product_id]]&amp;"."&amp;TEXT(Sales__tbl[[#This Row],[selling_price]],"0.00"))</f>
        <v>P. P.id04.11.53</v>
      </c>
    </row>
    <row r="251" spans="1:14" x14ac:dyDescent="0.25">
      <c r="A251">
        <v>250</v>
      </c>
      <c r="B251" s="9" t="str">
        <f>TEXT(Sales__tbl[[#This Row],[date]],"MM")</f>
        <v>10</v>
      </c>
      <c r="C251" s="13">
        <v>45218</v>
      </c>
      <c r="D251" t="str">
        <f>_xlfn.XLOOKUP(Sales__tbl[[#This Row],[customer_id]],customer_tbl[customer_id],customer_tbl[Branch_id],"Not found")</f>
        <v>N01</v>
      </c>
      <c r="E251" t="s">
        <v>1017</v>
      </c>
      <c r="F251" t="s">
        <v>964</v>
      </c>
      <c r="G251" t="s">
        <v>943</v>
      </c>
      <c r="H251">
        <v>1</v>
      </c>
      <c r="I251">
        <v>190.58</v>
      </c>
      <c r="J251">
        <v>0.1</v>
      </c>
      <c r="K251" s="3">
        <v>19.057999999999993</v>
      </c>
      <c r="L251">
        <v>171.52200000000002</v>
      </c>
      <c r="M251">
        <v>23.782000000000011</v>
      </c>
      <c r="N251" t="str">
        <f>"P. "&amp;(Sales__tbl[[#This Row],[product_id]]&amp;"."&amp;TEXT(Sales__tbl[[#This Row],[selling_price]],"0.00"))</f>
        <v>P. P.id09.190.58</v>
      </c>
    </row>
    <row r="252" spans="1:14" x14ac:dyDescent="0.25">
      <c r="A252">
        <v>251</v>
      </c>
      <c r="B252" s="9" t="str">
        <f>TEXT(Sales__tbl[[#This Row],[date]],"MM")</f>
        <v>10</v>
      </c>
      <c r="C252" s="13">
        <v>45219</v>
      </c>
      <c r="D252" t="str">
        <f>_xlfn.XLOOKUP(Sales__tbl[[#This Row],[customer_id]],customer_tbl[customer_id],customer_tbl[Branch_id],"Not found")</f>
        <v>C01</v>
      </c>
      <c r="E252" t="s">
        <v>1155</v>
      </c>
      <c r="F252" t="s">
        <v>958</v>
      </c>
      <c r="G252" t="s">
        <v>939</v>
      </c>
      <c r="H252">
        <v>1</v>
      </c>
      <c r="I252">
        <v>90.53</v>
      </c>
      <c r="J252">
        <v>0</v>
      </c>
      <c r="K252" s="3">
        <v>0</v>
      </c>
      <c r="L252">
        <v>90.53</v>
      </c>
      <c r="M252">
        <v>12.489999999999995</v>
      </c>
      <c r="N252" t="str">
        <f>"P. "&amp;(Sales__tbl[[#This Row],[product_id]]&amp;"."&amp;TEXT(Sales__tbl[[#This Row],[selling_price]],"0.00"))</f>
        <v>P. P.id03.90.53</v>
      </c>
    </row>
    <row r="253" spans="1:14" x14ac:dyDescent="0.25">
      <c r="A253">
        <v>252</v>
      </c>
      <c r="B253" s="9" t="str">
        <f>TEXT(Sales__tbl[[#This Row],[date]],"MM")</f>
        <v>10</v>
      </c>
      <c r="C253" s="13">
        <v>45220</v>
      </c>
      <c r="D253" t="str">
        <f>_xlfn.XLOOKUP(Sales__tbl[[#This Row],[customer_id]],customer_tbl[customer_id],customer_tbl[Branch_id],"Not found")</f>
        <v>E02</v>
      </c>
      <c r="E253" t="s">
        <v>1156</v>
      </c>
      <c r="F253" t="s">
        <v>964</v>
      </c>
      <c r="G253" t="s">
        <v>943</v>
      </c>
      <c r="H253">
        <v>3</v>
      </c>
      <c r="I253">
        <v>190.58</v>
      </c>
      <c r="J253">
        <v>0.2</v>
      </c>
      <c r="K253" s="3">
        <v>114.34799999999996</v>
      </c>
      <c r="L253">
        <v>457.39200000000005</v>
      </c>
      <c r="M253">
        <v>14.172000000000025</v>
      </c>
      <c r="N253" t="str">
        <f>"P. "&amp;(Sales__tbl[[#This Row],[product_id]]&amp;"."&amp;TEXT(Sales__tbl[[#This Row],[selling_price]],"0.00"))</f>
        <v>P. P.id09.190.58</v>
      </c>
    </row>
    <row r="254" spans="1:14" x14ac:dyDescent="0.25">
      <c r="A254">
        <v>253</v>
      </c>
      <c r="B254" s="9" t="str">
        <f>TEXT(Sales__tbl[[#This Row],[date]],"MM")</f>
        <v>10</v>
      </c>
      <c r="C254" s="13">
        <v>45221</v>
      </c>
      <c r="D254" t="str">
        <f>_xlfn.XLOOKUP(Sales__tbl[[#This Row],[customer_id]],customer_tbl[customer_id],customer_tbl[Branch_id],"Not found")</f>
        <v>N01</v>
      </c>
      <c r="E254" t="s">
        <v>1003</v>
      </c>
      <c r="F254" t="s">
        <v>957</v>
      </c>
      <c r="G254" t="s">
        <v>833</v>
      </c>
      <c r="H254">
        <v>1</v>
      </c>
      <c r="I254">
        <v>55.26</v>
      </c>
      <c r="J254">
        <v>0</v>
      </c>
      <c r="K254" s="3">
        <v>0</v>
      </c>
      <c r="L254">
        <v>55.26</v>
      </c>
      <c r="M254">
        <v>19.839999999999996</v>
      </c>
      <c r="N254" t="str">
        <f>"P. "&amp;(Sales__tbl[[#This Row],[product_id]]&amp;"."&amp;TEXT(Sales__tbl[[#This Row],[selling_price]],"0.00"))</f>
        <v>P. P.id02.55.26</v>
      </c>
    </row>
    <row r="255" spans="1:14" x14ac:dyDescent="0.25">
      <c r="A255">
        <v>254</v>
      </c>
      <c r="B255" s="9" t="str">
        <f>TEXT(Sales__tbl[[#This Row],[date]],"MM")</f>
        <v>10</v>
      </c>
      <c r="C255" s="13">
        <v>45222</v>
      </c>
      <c r="D255" t="str">
        <f>_xlfn.XLOOKUP(Sales__tbl[[#This Row],[customer_id]],customer_tbl[customer_id],customer_tbl[Branch_id],"Not found")</f>
        <v>E01</v>
      </c>
      <c r="E255" t="s">
        <v>1014</v>
      </c>
      <c r="F255" t="s">
        <v>966</v>
      </c>
      <c r="G255" t="s">
        <v>851</v>
      </c>
      <c r="H255">
        <v>1</v>
      </c>
      <c r="I255">
        <v>196.75</v>
      </c>
      <c r="J255">
        <v>0.1</v>
      </c>
      <c r="K255" s="3">
        <v>19.674999999999983</v>
      </c>
      <c r="L255">
        <v>177.07500000000002</v>
      </c>
      <c r="M255">
        <v>20.925000000000011</v>
      </c>
      <c r="N255" t="str">
        <f>"P. "&amp;(Sales__tbl[[#This Row],[product_id]]&amp;"."&amp;TEXT(Sales__tbl[[#This Row],[selling_price]],"0.00"))</f>
        <v>P. P.id11.196.75</v>
      </c>
    </row>
    <row r="256" spans="1:14" x14ac:dyDescent="0.25">
      <c r="A256">
        <v>255</v>
      </c>
      <c r="B256" s="9" t="str">
        <f>TEXT(Sales__tbl[[#This Row],[date]],"MM")</f>
        <v>10</v>
      </c>
      <c r="C256" s="13">
        <v>45223</v>
      </c>
      <c r="D256" t="str">
        <f>_xlfn.XLOOKUP(Sales__tbl[[#This Row],[customer_id]],customer_tbl[customer_id],customer_tbl[Branch_id],"Not found")</f>
        <v>W01</v>
      </c>
      <c r="E256" t="s">
        <v>1157</v>
      </c>
      <c r="F256" t="s">
        <v>966</v>
      </c>
      <c r="G256" t="s">
        <v>851</v>
      </c>
      <c r="H256">
        <v>1</v>
      </c>
      <c r="I256">
        <v>196.75</v>
      </c>
      <c r="J256">
        <v>0.1</v>
      </c>
      <c r="K256" s="3">
        <v>19.674999999999983</v>
      </c>
      <c r="L256">
        <v>177.07500000000002</v>
      </c>
      <c r="M256">
        <v>20.925000000000011</v>
      </c>
      <c r="N256" t="str">
        <f>"P. "&amp;(Sales__tbl[[#This Row],[product_id]]&amp;"."&amp;TEXT(Sales__tbl[[#This Row],[selling_price]],"0.00"))</f>
        <v>P. P.id11.196.75</v>
      </c>
    </row>
    <row r="257" spans="1:14" x14ac:dyDescent="0.25">
      <c r="A257">
        <v>256</v>
      </c>
      <c r="B257" s="9" t="str">
        <f>TEXT(Sales__tbl[[#This Row],[date]],"MM")</f>
        <v>10</v>
      </c>
      <c r="C257" s="13">
        <v>45224</v>
      </c>
      <c r="D257" t="str">
        <f>_xlfn.XLOOKUP(Sales__tbl[[#This Row],[customer_id]],customer_tbl[customer_id],customer_tbl[Branch_id],"Not found")</f>
        <v>E02</v>
      </c>
      <c r="E257" t="s">
        <v>1119</v>
      </c>
      <c r="F257" t="s">
        <v>963</v>
      </c>
      <c r="G257" t="s">
        <v>942</v>
      </c>
      <c r="H257">
        <v>1</v>
      </c>
      <c r="I257">
        <v>274.16000000000003</v>
      </c>
      <c r="J257">
        <v>0.1</v>
      </c>
      <c r="K257" s="3">
        <v>27.415999999999997</v>
      </c>
      <c r="L257">
        <v>246.74400000000003</v>
      </c>
      <c r="M257">
        <v>56.354000000000042</v>
      </c>
      <c r="N257" t="str">
        <f>"P. "&amp;(Sales__tbl[[#This Row],[product_id]]&amp;"."&amp;TEXT(Sales__tbl[[#This Row],[selling_price]],"0.00"))</f>
        <v>P. P.id08.274.16</v>
      </c>
    </row>
    <row r="258" spans="1:14" x14ac:dyDescent="0.25">
      <c r="A258">
        <v>257</v>
      </c>
      <c r="B258" s="9" t="str">
        <f>TEXT(Sales__tbl[[#This Row],[date]],"MM")</f>
        <v>10</v>
      </c>
      <c r="C258" s="13">
        <v>45225</v>
      </c>
      <c r="D258" t="str">
        <f>_xlfn.XLOOKUP(Sales__tbl[[#This Row],[customer_id]],customer_tbl[customer_id],customer_tbl[Branch_id],"Not found")</f>
        <v>C02</v>
      </c>
      <c r="E258" t="s">
        <v>990</v>
      </c>
      <c r="F258" t="s">
        <v>959</v>
      </c>
      <c r="G258" t="s">
        <v>837</v>
      </c>
      <c r="H258">
        <v>1</v>
      </c>
      <c r="I258">
        <v>11.53</v>
      </c>
      <c r="J258">
        <v>0</v>
      </c>
      <c r="K258" s="3">
        <v>0</v>
      </c>
      <c r="L258">
        <v>11.53</v>
      </c>
      <c r="M258">
        <v>2.5199999999999996</v>
      </c>
      <c r="N258" t="str">
        <f>"P. "&amp;(Sales__tbl[[#This Row],[product_id]]&amp;"."&amp;TEXT(Sales__tbl[[#This Row],[selling_price]],"0.00"))</f>
        <v>P. P.id04.11.53</v>
      </c>
    </row>
    <row r="259" spans="1:14" x14ac:dyDescent="0.25">
      <c r="A259">
        <v>258</v>
      </c>
      <c r="B259" s="9" t="str">
        <f>TEXT(Sales__tbl[[#This Row],[date]],"MM")</f>
        <v>10</v>
      </c>
      <c r="C259" s="13">
        <v>45226</v>
      </c>
      <c r="D259" t="str">
        <f>_xlfn.XLOOKUP(Sales__tbl[[#This Row],[customer_id]],customer_tbl[customer_id],customer_tbl[Branch_id],"Not found")</f>
        <v>C01</v>
      </c>
      <c r="E259" t="s">
        <v>1152</v>
      </c>
      <c r="F259" t="s">
        <v>963</v>
      </c>
      <c r="G259" t="s">
        <v>942</v>
      </c>
      <c r="H259">
        <v>1</v>
      </c>
      <c r="I259">
        <v>274.16000000000003</v>
      </c>
      <c r="J259">
        <v>0.1</v>
      </c>
      <c r="K259" s="3">
        <v>27.415999999999997</v>
      </c>
      <c r="L259">
        <v>246.74400000000003</v>
      </c>
      <c r="M259">
        <v>56.354000000000042</v>
      </c>
      <c r="N259" t="str">
        <f>"P. "&amp;(Sales__tbl[[#This Row],[product_id]]&amp;"."&amp;TEXT(Sales__tbl[[#This Row],[selling_price]],"0.00"))</f>
        <v>P. P.id08.274.16</v>
      </c>
    </row>
    <row r="260" spans="1:14" x14ac:dyDescent="0.25">
      <c r="A260">
        <v>259</v>
      </c>
      <c r="B260" s="9" t="str">
        <f>TEXT(Sales__tbl[[#This Row],[date]],"MM")</f>
        <v>10</v>
      </c>
      <c r="C260" s="13">
        <v>45227</v>
      </c>
      <c r="D260" t="str">
        <f>_xlfn.XLOOKUP(Sales__tbl[[#This Row],[customer_id]],customer_tbl[customer_id],customer_tbl[Branch_id],"Not found")</f>
        <v>W01</v>
      </c>
      <c r="E260" t="s">
        <v>995</v>
      </c>
      <c r="F260" t="s">
        <v>965</v>
      </c>
      <c r="G260" t="s">
        <v>847</v>
      </c>
      <c r="H260">
        <v>1</v>
      </c>
      <c r="I260">
        <v>168</v>
      </c>
      <c r="J260">
        <v>0.1</v>
      </c>
      <c r="K260" s="3">
        <v>16.799999999999983</v>
      </c>
      <c r="L260">
        <v>151.20000000000002</v>
      </c>
      <c r="M260">
        <v>29.460000000000022</v>
      </c>
      <c r="N260" t="str">
        <f>"P. "&amp;(Sales__tbl[[#This Row],[product_id]]&amp;"."&amp;TEXT(Sales__tbl[[#This Row],[selling_price]],"0.00"))</f>
        <v>P. P.id10.168.00</v>
      </c>
    </row>
    <row r="261" spans="1:14" x14ac:dyDescent="0.25">
      <c r="A261">
        <v>260</v>
      </c>
      <c r="B261" s="9" t="str">
        <f>TEXT(Sales__tbl[[#This Row],[date]],"MM")</f>
        <v>10</v>
      </c>
      <c r="C261" s="13">
        <v>45228</v>
      </c>
      <c r="D261" t="str">
        <f>_xlfn.XLOOKUP(Sales__tbl[[#This Row],[customer_id]],customer_tbl[customer_id],customer_tbl[Branch_id],"Not found")</f>
        <v>C02</v>
      </c>
      <c r="E261" t="s">
        <v>1138</v>
      </c>
      <c r="F261" t="s">
        <v>957</v>
      </c>
      <c r="G261" t="s">
        <v>833</v>
      </c>
      <c r="H261">
        <v>1</v>
      </c>
      <c r="I261">
        <v>55.26</v>
      </c>
      <c r="J261">
        <v>0</v>
      </c>
      <c r="K261" s="3">
        <v>0</v>
      </c>
      <c r="L261">
        <v>55.26</v>
      </c>
      <c r="M261">
        <v>19.839999999999996</v>
      </c>
      <c r="N261" t="str">
        <f>"P. "&amp;(Sales__tbl[[#This Row],[product_id]]&amp;"."&amp;TEXT(Sales__tbl[[#This Row],[selling_price]],"0.00"))</f>
        <v>P. P.id02.55.26</v>
      </c>
    </row>
    <row r="262" spans="1:14" x14ac:dyDescent="0.25">
      <c r="A262">
        <v>261</v>
      </c>
      <c r="B262" s="9" t="str">
        <f>TEXT(Sales__tbl[[#This Row],[date]],"MM")</f>
        <v>10</v>
      </c>
      <c r="C262" s="13">
        <v>45229</v>
      </c>
      <c r="D262" t="str">
        <f>_xlfn.XLOOKUP(Sales__tbl[[#This Row],[customer_id]],customer_tbl[customer_id],customer_tbl[Branch_id],"Not found")</f>
        <v>E02</v>
      </c>
      <c r="E262" t="s">
        <v>1158</v>
      </c>
      <c r="F262" t="s">
        <v>962</v>
      </c>
      <c r="G262" t="s">
        <v>941</v>
      </c>
      <c r="H262">
        <v>1</v>
      </c>
      <c r="I262">
        <v>259.11</v>
      </c>
      <c r="J262">
        <v>0.1</v>
      </c>
      <c r="K262" s="3">
        <v>25.911000000000001</v>
      </c>
      <c r="L262">
        <v>233.19900000000001</v>
      </c>
      <c r="M262">
        <v>59.299000000000007</v>
      </c>
      <c r="N262" t="str">
        <f>"P. "&amp;(Sales__tbl[[#This Row],[product_id]]&amp;"."&amp;TEXT(Sales__tbl[[#This Row],[selling_price]],"0.00"))</f>
        <v>P. P.id07.259.11</v>
      </c>
    </row>
    <row r="263" spans="1:14" x14ac:dyDescent="0.25">
      <c r="A263">
        <v>262</v>
      </c>
      <c r="B263" s="9" t="str">
        <f>TEXT(Sales__tbl[[#This Row],[date]],"MM")</f>
        <v>10</v>
      </c>
      <c r="C263" s="13">
        <v>45230</v>
      </c>
      <c r="D263" t="str">
        <f>_xlfn.XLOOKUP(Sales__tbl[[#This Row],[customer_id]],customer_tbl[customer_id],customer_tbl[Branch_id],"Not found")</f>
        <v>S02</v>
      </c>
      <c r="E263" t="s">
        <v>1159</v>
      </c>
      <c r="F263" t="s">
        <v>956</v>
      </c>
      <c r="G263" t="s">
        <v>831</v>
      </c>
      <c r="H263">
        <v>3</v>
      </c>
      <c r="I263">
        <v>303.48</v>
      </c>
      <c r="J263">
        <v>0.2</v>
      </c>
      <c r="K263" s="3">
        <v>182.08799999999997</v>
      </c>
      <c r="L263">
        <v>728.35200000000009</v>
      </c>
      <c r="M263">
        <v>148.452</v>
      </c>
      <c r="N263" t="str">
        <f>"P. "&amp;(Sales__tbl[[#This Row],[product_id]]&amp;"."&amp;TEXT(Sales__tbl[[#This Row],[selling_price]],"0.00"))</f>
        <v>P. P.id01.303.48</v>
      </c>
    </row>
    <row r="264" spans="1:14" x14ac:dyDescent="0.25">
      <c r="A264">
        <v>263</v>
      </c>
      <c r="B264" s="9" t="str">
        <f>TEXT(Sales__tbl[[#This Row],[date]],"MM")</f>
        <v>11</v>
      </c>
      <c r="C264" s="13">
        <v>45231</v>
      </c>
      <c r="D264" t="str">
        <f>_xlfn.XLOOKUP(Sales__tbl[[#This Row],[customer_id]],customer_tbl[customer_id],customer_tbl[Branch_id],"Not found")</f>
        <v>E02</v>
      </c>
      <c r="E264" t="s">
        <v>1065</v>
      </c>
      <c r="F264" t="s">
        <v>960</v>
      </c>
      <c r="G264" t="s">
        <v>839</v>
      </c>
      <c r="H264">
        <v>1</v>
      </c>
      <c r="I264">
        <v>165.45</v>
      </c>
      <c r="J264">
        <v>0.1</v>
      </c>
      <c r="K264" s="3">
        <v>16.544999999999987</v>
      </c>
      <c r="L264">
        <v>148.905</v>
      </c>
      <c r="M264">
        <v>25.435000000000002</v>
      </c>
      <c r="N264" t="str">
        <f>"P. "&amp;(Sales__tbl[[#This Row],[product_id]]&amp;"."&amp;TEXT(Sales__tbl[[#This Row],[selling_price]],"0.00"))</f>
        <v>P. P.id05.165.45</v>
      </c>
    </row>
    <row r="265" spans="1:14" x14ac:dyDescent="0.25">
      <c r="A265">
        <v>264</v>
      </c>
      <c r="B265" s="9" t="str">
        <f>TEXT(Sales__tbl[[#This Row],[date]],"MM")</f>
        <v>11</v>
      </c>
      <c r="C265" s="13">
        <v>45232</v>
      </c>
      <c r="D265" t="str">
        <f>_xlfn.XLOOKUP(Sales__tbl[[#This Row],[customer_id]],customer_tbl[customer_id],customer_tbl[Branch_id],"Not found")</f>
        <v>W02</v>
      </c>
      <c r="E265" t="s">
        <v>991</v>
      </c>
      <c r="F265" t="s">
        <v>957</v>
      </c>
      <c r="G265" t="s">
        <v>833</v>
      </c>
      <c r="H265">
        <v>1</v>
      </c>
      <c r="I265">
        <v>55.26</v>
      </c>
      <c r="J265">
        <v>0</v>
      </c>
      <c r="K265" s="3">
        <v>0</v>
      </c>
      <c r="L265">
        <v>55.26</v>
      </c>
      <c r="M265">
        <v>19.839999999999996</v>
      </c>
      <c r="N265" t="str">
        <f>"P. "&amp;(Sales__tbl[[#This Row],[product_id]]&amp;"."&amp;TEXT(Sales__tbl[[#This Row],[selling_price]],"0.00"))</f>
        <v>P. P.id02.55.26</v>
      </c>
    </row>
    <row r="266" spans="1:14" x14ac:dyDescent="0.25">
      <c r="A266">
        <v>265</v>
      </c>
      <c r="B266" s="9" t="str">
        <f>TEXT(Sales__tbl[[#This Row],[date]],"MM")</f>
        <v>11</v>
      </c>
      <c r="C266" s="13">
        <v>45233</v>
      </c>
      <c r="D266" t="str">
        <f>_xlfn.XLOOKUP(Sales__tbl[[#This Row],[customer_id]],customer_tbl[customer_id],customer_tbl[Branch_id],"Not found")</f>
        <v>S02</v>
      </c>
      <c r="E266" t="s">
        <v>1159</v>
      </c>
      <c r="F266" t="s">
        <v>965</v>
      </c>
      <c r="G266" t="s">
        <v>847</v>
      </c>
      <c r="H266">
        <v>1</v>
      </c>
      <c r="I266">
        <v>168</v>
      </c>
      <c r="J266">
        <v>0.1</v>
      </c>
      <c r="K266" s="3">
        <v>16.799999999999983</v>
      </c>
      <c r="L266">
        <v>151.20000000000002</v>
      </c>
      <c r="M266">
        <v>29.460000000000022</v>
      </c>
      <c r="N266" t="str">
        <f>"P. "&amp;(Sales__tbl[[#This Row],[product_id]]&amp;"."&amp;TEXT(Sales__tbl[[#This Row],[selling_price]],"0.00"))</f>
        <v>P. P.id10.168.00</v>
      </c>
    </row>
    <row r="267" spans="1:14" x14ac:dyDescent="0.25">
      <c r="A267">
        <v>266</v>
      </c>
      <c r="B267" s="9" t="str">
        <f>TEXT(Sales__tbl[[#This Row],[date]],"MM")</f>
        <v>11</v>
      </c>
      <c r="C267" s="13">
        <v>45234</v>
      </c>
      <c r="D267" t="str">
        <f>_xlfn.XLOOKUP(Sales__tbl[[#This Row],[customer_id]],customer_tbl[customer_id],customer_tbl[Branch_id],"Not found")</f>
        <v>C01</v>
      </c>
      <c r="E267" t="s">
        <v>1010</v>
      </c>
      <c r="F267" t="s">
        <v>964</v>
      </c>
      <c r="G267" t="s">
        <v>943</v>
      </c>
      <c r="H267">
        <v>1</v>
      </c>
      <c r="I267">
        <v>190.58</v>
      </c>
      <c r="J267">
        <v>0.1</v>
      </c>
      <c r="K267" s="3">
        <v>19.057999999999993</v>
      </c>
      <c r="L267">
        <v>171.52200000000002</v>
      </c>
      <c r="M267">
        <v>23.782000000000011</v>
      </c>
      <c r="N267" t="str">
        <f>"P. "&amp;(Sales__tbl[[#This Row],[product_id]]&amp;"."&amp;TEXT(Sales__tbl[[#This Row],[selling_price]],"0.00"))</f>
        <v>P. P.id09.190.58</v>
      </c>
    </row>
    <row r="268" spans="1:14" x14ac:dyDescent="0.25">
      <c r="A268">
        <v>267</v>
      </c>
      <c r="B268" s="9" t="str">
        <f>TEXT(Sales__tbl[[#This Row],[date]],"MM")</f>
        <v>11</v>
      </c>
      <c r="C268" s="13">
        <v>45235</v>
      </c>
      <c r="D268" t="str">
        <f>_xlfn.XLOOKUP(Sales__tbl[[#This Row],[customer_id]],customer_tbl[customer_id],customer_tbl[Branch_id],"Not found")</f>
        <v>S01</v>
      </c>
      <c r="E268" t="s">
        <v>1160</v>
      </c>
      <c r="F268" t="s">
        <v>963</v>
      </c>
      <c r="G268" t="s">
        <v>942</v>
      </c>
      <c r="H268">
        <v>1</v>
      </c>
      <c r="I268">
        <v>274.16000000000003</v>
      </c>
      <c r="J268">
        <v>0.1</v>
      </c>
      <c r="K268" s="3">
        <v>27.415999999999997</v>
      </c>
      <c r="L268">
        <v>246.74400000000003</v>
      </c>
      <c r="M268">
        <v>56.354000000000042</v>
      </c>
      <c r="N268" t="str">
        <f>"P. "&amp;(Sales__tbl[[#This Row],[product_id]]&amp;"."&amp;TEXT(Sales__tbl[[#This Row],[selling_price]],"0.00"))</f>
        <v>P. P.id08.274.16</v>
      </c>
    </row>
    <row r="269" spans="1:14" x14ac:dyDescent="0.25">
      <c r="A269">
        <v>268</v>
      </c>
      <c r="B269" s="9" t="str">
        <f>TEXT(Sales__tbl[[#This Row],[date]],"MM")</f>
        <v>11</v>
      </c>
      <c r="C269" s="13">
        <v>45236</v>
      </c>
      <c r="D269" t="str">
        <f>_xlfn.XLOOKUP(Sales__tbl[[#This Row],[customer_id]],customer_tbl[customer_id],customer_tbl[Branch_id],"Not found")</f>
        <v>S01</v>
      </c>
      <c r="E269" t="s">
        <v>1111</v>
      </c>
      <c r="F269" t="s">
        <v>961</v>
      </c>
      <c r="G269" t="s">
        <v>940</v>
      </c>
      <c r="H269">
        <v>1</v>
      </c>
      <c r="I269">
        <v>66.790000000000006</v>
      </c>
      <c r="J269">
        <v>0</v>
      </c>
      <c r="K269" s="3">
        <v>0</v>
      </c>
      <c r="L269">
        <v>66.790000000000006</v>
      </c>
      <c r="M269">
        <v>22.850000000000009</v>
      </c>
      <c r="N269" t="str">
        <f>"P. "&amp;(Sales__tbl[[#This Row],[product_id]]&amp;"."&amp;TEXT(Sales__tbl[[#This Row],[selling_price]],"0.00"))</f>
        <v>P. P.id06.66.79</v>
      </c>
    </row>
    <row r="270" spans="1:14" x14ac:dyDescent="0.25">
      <c r="A270">
        <v>269</v>
      </c>
      <c r="B270" s="9" t="str">
        <f>TEXT(Sales__tbl[[#This Row],[date]],"MM")</f>
        <v>11</v>
      </c>
      <c r="C270" s="13">
        <v>45237</v>
      </c>
      <c r="D270" t="str">
        <f>_xlfn.XLOOKUP(Sales__tbl[[#This Row],[customer_id]],customer_tbl[customer_id],customer_tbl[Branch_id],"Not found")</f>
        <v>N01</v>
      </c>
      <c r="E270" t="s">
        <v>1131</v>
      </c>
      <c r="F270" t="s">
        <v>967</v>
      </c>
      <c r="G270" t="s">
        <v>872</v>
      </c>
      <c r="H270">
        <v>1</v>
      </c>
      <c r="I270">
        <v>91.73</v>
      </c>
      <c r="J270">
        <v>0</v>
      </c>
      <c r="K270" s="3">
        <v>0</v>
      </c>
      <c r="L270">
        <v>91.73</v>
      </c>
      <c r="M270">
        <v>15.290000000000006</v>
      </c>
      <c r="N270" t="str">
        <f>"P. "&amp;(Sales__tbl[[#This Row],[product_id]]&amp;"."&amp;TEXT(Sales__tbl[[#This Row],[selling_price]],"0.00"))</f>
        <v>P. P.id12.91.73</v>
      </c>
    </row>
    <row r="271" spans="1:14" x14ac:dyDescent="0.25">
      <c r="A271">
        <v>270</v>
      </c>
      <c r="B271" s="9" t="str">
        <f>TEXT(Sales__tbl[[#This Row],[date]],"MM")</f>
        <v>11</v>
      </c>
      <c r="C271" s="13">
        <v>45238</v>
      </c>
      <c r="D271" t="str">
        <f>_xlfn.XLOOKUP(Sales__tbl[[#This Row],[customer_id]],customer_tbl[customer_id],customer_tbl[Branch_id],"Not found")</f>
        <v>E01</v>
      </c>
      <c r="E271" t="s">
        <v>1161</v>
      </c>
      <c r="F271" t="s">
        <v>959</v>
      </c>
      <c r="G271" t="s">
        <v>837</v>
      </c>
      <c r="H271">
        <v>3</v>
      </c>
      <c r="I271">
        <v>11.53</v>
      </c>
      <c r="J271">
        <v>0</v>
      </c>
      <c r="K271" s="3">
        <v>0</v>
      </c>
      <c r="L271">
        <v>34.589999999999996</v>
      </c>
      <c r="M271">
        <v>7.5599999999999952</v>
      </c>
      <c r="N271" t="str">
        <f>"P. "&amp;(Sales__tbl[[#This Row],[product_id]]&amp;"."&amp;TEXT(Sales__tbl[[#This Row],[selling_price]],"0.00"))</f>
        <v>P. P.id04.11.53</v>
      </c>
    </row>
    <row r="272" spans="1:14" x14ac:dyDescent="0.25">
      <c r="A272">
        <v>271</v>
      </c>
      <c r="B272" s="9" t="str">
        <f>TEXT(Sales__tbl[[#This Row],[date]],"MM")</f>
        <v>11</v>
      </c>
      <c r="C272" s="13">
        <v>45239</v>
      </c>
      <c r="D272" t="str">
        <f>_xlfn.XLOOKUP(Sales__tbl[[#This Row],[customer_id]],customer_tbl[customer_id],customer_tbl[Branch_id],"Not found")</f>
        <v>N02</v>
      </c>
      <c r="E272" t="s">
        <v>1162</v>
      </c>
      <c r="F272" t="s">
        <v>964</v>
      </c>
      <c r="G272" t="s">
        <v>943</v>
      </c>
      <c r="H272">
        <v>2</v>
      </c>
      <c r="I272">
        <v>190.58</v>
      </c>
      <c r="J272">
        <v>0.15</v>
      </c>
      <c r="K272" s="3">
        <v>57.174000000000035</v>
      </c>
      <c r="L272">
        <v>323.98599999999999</v>
      </c>
      <c r="M272">
        <v>28.505999999999972</v>
      </c>
      <c r="N272" t="str">
        <f>"P. "&amp;(Sales__tbl[[#This Row],[product_id]]&amp;"."&amp;TEXT(Sales__tbl[[#This Row],[selling_price]],"0.00"))</f>
        <v>P. P.id09.190.58</v>
      </c>
    </row>
    <row r="273" spans="1:14" x14ac:dyDescent="0.25">
      <c r="A273">
        <v>272</v>
      </c>
      <c r="B273" s="9" t="str">
        <f>TEXT(Sales__tbl[[#This Row],[date]],"MM")</f>
        <v>11</v>
      </c>
      <c r="C273" s="13">
        <v>45240</v>
      </c>
      <c r="D273" t="str">
        <f>_xlfn.XLOOKUP(Sales__tbl[[#This Row],[customer_id]],customer_tbl[customer_id],customer_tbl[Branch_id],"Not found")</f>
        <v>W01</v>
      </c>
      <c r="E273" t="s">
        <v>1049</v>
      </c>
      <c r="F273" t="s">
        <v>964</v>
      </c>
      <c r="G273" t="s">
        <v>943</v>
      </c>
      <c r="H273">
        <v>1</v>
      </c>
      <c r="I273">
        <v>190.58</v>
      </c>
      <c r="J273">
        <v>0.1</v>
      </c>
      <c r="K273" s="3">
        <v>19.057999999999993</v>
      </c>
      <c r="L273">
        <v>171.52200000000002</v>
      </c>
      <c r="M273">
        <v>23.782000000000011</v>
      </c>
      <c r="N273" t="str">
        <f>"P. "&amp;(Sales__tbl[[#This Row],[product_id]]&amp;"."&amp;TEXT(Sales__tbl[[#This Row],[selling_price]],"0.00"))</f>
        <v>P. P.id09.190.58</v>
      </c>
    </row>
    <row r="274" spans="1:14" x14ac:dyDescent="0.25">
      <c r="A274">
        <v>273</v>
      </c>
      <c r="B274" s="9" t="str">
        <f>TEXT(Sales__tbl[[#This Row],[date]],"MM")</f>
        <v>11</v>
      </c>
      <c r="C274" s="13">
        <v>45241</v>
      </c>
      <c r="D274" t="str">
        <f>_xlfn.XLOOKUP(Sales__tbl[[#This Row],[customer_id]],customer_tbl[customer_id],customer_tbl[Branch_id],"Not found")</f>
        <v>S01</v>
      </c>
      <c r="E274" t="s">
        <v>1163</v>
      </c>
      <c r="F274" t="s">
        <v>961</v>
      </c>
      <c r="G274" t="s">
        <v>940</v>
      </c>
      <c r="H274">
        <v>2</v>
      </c>
      <c r="I274">
        <v>66.790000000000006</v>
      </c>
      <c r="J274">
        <v>0</v>
      </c>
      <c r="K274" s="3">
        <v>0</v>
      </c>
      <c r="L274">
        <v>133.58000000000001</v>
      </c>
      <c r="M274">
        <v>45.700000000000017</v>
      </c>
      <c r="N274" t="str">
        <f>"P. "&amp;(Sales__tbl[[#This Row],[product_id]]&amp;"."&amp;TEXT(Sales__tbl[[#This Row],[selling_price]],"0.00"))</f>
        <v>P. P.id06.66.79</v>
      </c>
    </row>
    <row r="275" spans="1:14" x14ac:dyDescent="0.25">
      <c r="A275">
        <v>274</v>
      </c>
      <c r="B275" s="9" t="str">
        <f>TEXT(Sales__tbl[[#This Row],[date]],"MM")</f>
        <v>11</v>
      </c>
      <c r="C275" s="13">
        <v>45242</v>
      </c>
      <c r="D275" t="str">
        <f>_xlfn.XLOOKUP(Sales__tbl[[#This Row],[customer_id]],customer_tbl[customer_id],customer_tbl[Branch_id],"Not found")</f>
        <v>C02</v>
      </c>
      <c r="E275" t="s">
        <v>1058</v>
      </c>
      <c r="F275" t="s">
        <v>960</v>
      </c>
      <c r="G275" t="s">
        <v>839</v>
      </c>
      <c r="H275">
        <v>1</v>
      </c>
      <c r="I275">
        <v>165.45</v>
      </c>
      <c r="J275">
        <v>0.1</v>
      </c>
      <c r="K275" s="3">
        <v>16.544999999999987</v>
      </c>
      <c r="L275">
        <v>148.905</v>
      </c>
      <c r="M275">
        <v>25.435000000000002</v>
      </c>
      <c r="N275" t="str">
        <f>"P. "&amp;(Sales__tbl[[#This Row],[product_id]]&amp;"."&amp;TEXT(Sales__tbl[[#This Row],[selling_price]],"0.00"))</f>
        <v>P. P.id05.165.45</v>
      </c>
    </row>
    <row r="276" spans="1:14" x14ac:dyDescent="0.25">
      <c r="A276">
        <v>275</v>
      </c>
      <c r="B276" s="9" t="str">
        <f>TEXT(Sales__tbl[[#This Row],[date]],"MM")</f>
        <v>11</v>
      </c>
      <c r="C276" s="13">
        <v>45243</v>
      </c>
      <c r="D276" t="str">
        <f>_xlfn.XLOOKUP(Sales__tbl[[#This Row],[customer_id]],customer_tbl[customer_id],customer_tbl[Branch_id],"Not found")</f>
        <v>N01</v>
      </c>
      <c r="E276" t="s">
        <v>998</v>
      </c>
      <c r="F276" t="s">
        <v>964</v>
      </c>
      <c r="G276" t="s">
        <v>943</v>
      </c>
      <c r="H276">
        <v>3</v>
      </c>
      <c r="I276">
        <v>190.58</v>
      </c>
      <c r="J276">
        <v>0.2</v>
      </c>
      <c r="K276" s="3">
        <v>114.34799999999996</v>
      </c>
      <c r="L276">
        <v>457.39200000000005</v>
      </c>
      <c r="M276">
        <v>14.172000000000025</v>
      </c>
      <c r="N276" t="str">
        <f>"P. "&amp;(Sales__tbl[[#This Row],[product_id]]&amp;"."&amp;TEXT(Sales__tbl[[#This Row],[selling_price]],"0.00"))</f>
        <v>P. P.id09.190.58</v>
      </c>
    </row>
    <row r="277" spans="1:14" x14ac:dyDescent="0.25">
      <c r="A277">
        <v>276</v>
      </c>
      <c r="B277" s="9" t="str">
        <f>TEXT(Sales__tbl[[#This Row],[date]],"MM")</f>
        <v>11</v>
      </c>
      <c r="C277" s="13">
        <v>45244</v>
      </c>
      <c r="D277" t="str">
        <f>_xlfn.XLOOKUP(Sales__tbl[[#This Row],[customer_id]],customer_tbl[customer_id],customer_tbl[Branch_id],"Not found")</f>
        <v>N01</v>
      </c>
      <c r="E277" t="s">
        <v>1125</v>
      </c>
      <c r="F277" t="s">
        <v>962</v>
      </c>
      <c r="G277" t="s">
        <v>941</v>
      </c>
      <c r="H277">
        <v>1</v>
      </c>
      <c r="I277">
        <v>259.11</v>
      </c>
      <c r="J277">
        <v>0.1</v>
      </c>
      <c r="K277" s="3">
        <v>25.911000000000001</v>
      </c>
      <c r="L277">
        <v>233.19900000000001</v>
      </c>
      <c r="M277">
        <v>59.299000000000007</v>
      </c>
      <c r="N277" t="str">
        <f>"P. "&amp;(Sales__tbl[[#This Row],[product_id]]&amp;"."&amp;TEXT(Sales__tbl[[#This Row],[selling_price]],"0.00"))</f>
        <v>P. P.id07.259.11</v>
      </c>
    </row>
    <row r="278" spans="1:14" x14ac:dyDescent="0.25">
      <c r="A278">
        <v>277</v>
      </c>
      <c r="B278" s="9" t="str">
        <f>TEXT(Sales__tbl[[#This Row],[date]],"MM")</f>
        <v>11</v>
      </c>
      <c r="C278" s="13">
        <v>45245</v>
      </c>
      <c r="D278" t="str">
        <f>_xlfn.XLOOKUP(Sales__tbl[[#This Row],[customer_id]],customer_tbl[customer_id],customer_tbl[Branch_id],"Not found")</f>
        <v>W02</v>
      </c>
      <c r="E278" t="s">
        <v>1124</v>
      </c>
      <c r="F278" t="s">
        <v>962</v>
      </c>
      <c r="G278" t="s">
        <v>941</v>
      </c>
      <c r="H278">
        <v>2</v>
      </c>
      <c r="I278">
        <v>259.11</v>
      </c>
      <c r="J278">
        <v>0.2</v>
      </c>
      <c r="K278" s="3">
        <v>103.64400000000001</v>
      </c>
      <c r="L278">
        <v>414.57600000000002</v>
      </c>
      <c r="M278">
        <v>66.77600000000001</v>
      </c>
      <c r="N278" t="str">
        <f>"P. "&amp;(Sales__tbl[[#This Row],[product_id]]&amp;"."&amp;TEXT(Sales__tbl[[#This Row],[selling_price]],"0.00"))</f>
        <v>P. P.id07.259.11</v>
      </c>
    </row>
    <row r="279" spans="1:14" x14ac:dyDescent="0.25">
      <c r="A279">
        <v>278</v>
      </c>
      <c r="B279" s="9" t="str">
        <f>TEXT(Sales__tbl[[#This Row],[date]],"MM")</f>
        <v>11</v>
      </c>
      <c r="C279" s="13">
        <v>45246</v>
      </c>
      <c r="D279" t="str">
        <f>_xlfn.XLOOKUP(Sales__tbl[[#This Row],[customer_id]],customer_tbl[customer_id],customer_tbl[Branch_id],"Not found")</f>
        <v>E02</v>
      </c>
      <c r="E279" t="s">
        <v>1048</v>
      </c>
      <c r="F279" t="s">
        <v>966</v>
      </c>
      <c r="G279" t="s">
        <v>851</v>
      </c>
      <c r="H279">
        <v>1</v>
      </c>
      <c r="I279">
        <v>196.75</v>
      </c>
      <c r="J279">
        <v>0.1</v>
      </c>
      <c r="K279" s="3">
        <v>19.674999999999983</v>
      </c>
      <c r="L279">
        <v>177.07500000000002</v>
      </c>
      <c r="M279">
        <v>20.925000000000011</v>
      </c>
      <c r="N279" t="str">
        <f>"P. "&amp;(Sales__tbl[[#This Row],[product_id]]&amp;"."&amp;TEXT(Sales__tbl[[#This Row],[selling_price]],"0.00"))</f>
        <v>P. P.id11.196.75</v>
      </c>
    </row>
    <row r="280" spans="1:14" x14ac:dyDescent="0.25">
      <c r="A280">
        <v>279</v>
      </c>
      <c r="B280" s="9" t="str">
        <f>TEXT(Sales__tbl[[#This Row],[date]],"MM")</f>
        <v>11</v>
      </c>
      <c r="C280" s="13">
        <v>45247</v>
      </c>
      <c r="D280" t="str">
        <f>_xlfn.XLOOKUP(Sales__tbl[[#This Row],[customer_id]],customer_tbl[customer_id],customer_tbl[Branch_id],"Not found")</f>
        <v>E02</v>
      </c>
      <c r="E280" t="s">
        <v>1034</v>
      </c>
      <c r="F280" t="s">
        <v>966</v>
      </c>
      <c r="G280" t="s">
        <v>851</v>
      </c>
      <c r="H280">
        <v>1</v>
      </c>
      <c r="I280">
        <v>196.75</v>
      </c>
      <c r="J280">
        <v>0.1</v>
      </c>
      <c r="K280" s="3">
        <v>19.674999999999983</v>
      </c>
      <c r="L280">
        <v>177.07500000000002</v>
      </c>
      <c r="M280">
        <v>20.925000000000011</v>
      </c>
      <c r="N280" t="str">
        <f>"P. "&amp;(Sales__tbl[[#This Row],[product_id]]&amp;"."&amp;TEXT(Sales__tbl[[#This Row],[selling_price]],"0.00"))</f>
        <v>P. P.id11.196.75</v>
      </c>
    </row>
    <row r="281" spans="1:14" x14ac:dyDescent="0.25">
      <c r="A281">
        <v>280</v>
      </c>
      <c r="B281" s="9" t="str">
        <f>TEXT(Sales__tbl[[#This Row],[date]],"MM")</f>
        <v>11</v>
      </c>
      <c r="C281" s="13">
        <v>45248</v>
      </c>
      <c r="D281" t="str">
        <f>_xlfn.XLOOKUP(Sales__tbl[[#This Row],[customer_id]],customer_tbl[customer_id],customer_tbl[Branch_id],"Not found")</f>
        <v>W01</v>
      </c>
      <c r="E281" t="s">
        <v>1031</v>
      </c>
      <c r="F281" t="s">
        <v>961</v>
      </c>
      <c r="G281" t="s">
        <v>940</v>
      </c>
      <c r="H281">
        <v>1</v>
      </c>
      <c r="I281">
        <v>66.790000000000006</v>
      </c>
      <c r="J281">
        <v>0</v>
      </c>
      <c r="K281" s="3">
        <v>0</v>
      </c>
      <c r="L281">
        <v>66.790000000000006</v>
      </c>
      <c r="M281">
        <v>22.850000000000009</v>
      </c>
      <c r="N281" t="str">
        <f>"P. "&amp;(Sales__tbl[[#This Row],[product_id]]&amp;"."&amp;TEXT(Sales__tbl[[#This Row],[selling_price]],"0.00"))</f>
        <v>P. P.id06.66.79</v>
      </c>
    </row>
    <row r="282" spans="1:14" x14ac:dyDescent="0.25">
      <c r="A282">
        <v>281</v>
      </c>
      <c r="B282" s="9" t="str">
        <f>TEXT(Sales__tbl[[#This Row],[date]],"MM")</f>
        <v>11</v>
      </c>
      <c r="C282" s="13">
        <v>45249</v>
      </c>
      <c r="D282" t="str">
        <f>_xlfn.XLOOKUP(Sales__tbl[[#This Row],[customer_id]],customer_tbl[customer_id],customer_tbl[Branch_id],"Not found")</f>
        <v>N01</v>
      </c>
      <c r="E282" t="s">
        <v>1164</v>
      </c>
      <c r="F282" t="s">
        <v>964</v>
      </c>
      <c r="G282" t="s">
        <v>943</v>
      </c>
      <c r="H282">
        <v>1</v>
      </c>
      <c r="I282">
        <v>190.58</v>
      </c>
      <c r="J282">
        <v>0.1</v>
      </c>
      <c r="K282" s="3">
        <v>19.057999999999993</v>
      </c>
      <c r="L282">
        <v>171.52200000000002</v>
      </c>
      <c r="M282">
        <v>23.782000000000011</v>
      </c>
      <c r="N282" t="str">
        <f>"P. "&amp;(Sales__tbl[[#This Row],[product_id]]&amp;"."&amp;TEXT(Sales__tbl[[#This Row],[selling_price]],"0.00"))</f>
        <v>P. P.id09.190.58</v>
      </c>
    </row>
    <row r="283" spans="1:14" x14ac:dyDescent="0.25">
      <c r="A283">
        <v>282</v>
      </c>
      <c r="B283" s="9" t="str">
        <f>TEXT(Sales__tbl[[#This Row],[date]],"MM")</f>
        <v>11</v>
      </c>
      <c r="C283" s="13">
        <v>45250</v>
      </c>
      <c r="D283" t="str">
        <f>_xlfn.XLOOKUP(Sales__tbl[[#This Row],[customer_id]],customer_tbl[customer_id],customer_tbl[Branch_id],"Not found")</f>
        <v>C02</v>
      </c>
      <c r="E283" t="s">
        <v>1106</v>
      </c>
      <c r="F283" t="s">
        <v>958</v>
      </c>
      <c r="G283" t="s">
        <v>939</v>
      </c>
      <c r="H283">
        <v>1</v>
      </c>
      <c r="I283">
        <v>90.53</v>
      </c>
      <c r="J283">
        <v>0</v>
      </c>
      <c r="K283" s="3">
        <v>0</v>
      </c>
      <c r="L283">
        <v>90.53</v>
      </c>
      <c r="M283">
        <v>12.489999999999995</v>
      </c>
      <c r="N283" t="str">
        <f>"P. "&amp;(Sales__tbl[[#This Row],[product_id]]&amp;"."&amp;TEXT(Sales__tbl[[#This Row],[selling_price]],"0.00"))</f>
        <v>P. P.id03.90.53</v>
      </c>
    </row>
    <row r="284" spans="1:14" x14ac:dyDescent="0.25">
      <c r="A284">
        <v>283</v>
      </c>
      <c r="B284" s="9" t="str">
        <f>TEXT(Sales__tbl[[#This Row],[date]],"MM")</f>
        <v>11</v>
      </c>
      <c r="C284" s="13">
        <v>45251</v>
      </c>
      <c r="D284" t="str">
        <f>_xlfn.XLOOKUP(Sales__tbl[[#This Row],[customer_id]],customer_tbl[customer_id],customer_tbl[Branch_id],"Not found")</f>
        <v>S01</v>
      </c>
      <c r="E284" t="s">
        <v>1021</v>
      </c>
      <c r="F284" t="s">
        <v>957</v>
      </c>
      <c r="G284" t="s">
        <v>833</v>
      </c>
      <c r="H284">
        <v>1</v>
      </c>
      <c r="I284">
        <v>55.26</v>
      </c>
      <c r="J284">
        <v>0</v>
      </c>
      <c r="K284" s="3">
        <v>0</v>
      </c>
      <c r="L284">
        <v>55.26</v>
      </c>
      <c r="M284">
        <v>19.839999999999996</v>
      </c>
      <c r="N284" t="str">
        <f>"P. "&amp;(Sales__tbl[[#This Row],[product_id]]&amp;"."&amp;TEXT(Sales__tbl[[#This Row],[selling_price]],"0.00"))</f>
        <v>P. P.id02.55.26</v>
      </c>
    </row>
    <row r="285" spans="1:14" x14ac:dyDescent="0.25">
      <c r="A285">
        <v>284</v>
      </c>
      <c r="B285" s="9" t="str">
        <f>TEXT(Sales__tbl[[#This Row],[date]],"MM")</f>
        <v>11</v>
      </c>
      <c r="C285" s="13">
        <v>45252</v>
      </c>
      <c r="D285" t="str">
        <f>_xlfn.XLOOKUP(Sales__tbl[[#This Row],[customer_id]],customer_tbl[customer_id],customer_tbl[Branch_id],"Not found")</f>
        <v>C01</v>
      </c>
      <c r="E285" t="s">
        <v>999</v>
      </c>
      <c r="F285" t="s">
        <v>964</v>
      </c>
      <c r="G285" t="s">
        <v>943</v>
      </c>
      <c r="H285">
        <v>1</v>
      </c>
      <c r="I285">
        <v>190.58</v>
      </c>
      <c r="J285">
        <v>0.1</v>
      </c>
      <c r="K285" s="3">
        <v>19.057999999999993</v>
      </c>
      <c r="L285">
        <v>171.52200000000002</v>
      </c>
      <c r="M285">
        <v>23.782000000000011</v>
      </c>
      <c r="N285" t="str">
        <f>"P. "&amp;(Sales__tbl[[#This Row],[product_id]]&amp;"."&amp;TEXT(Sales__tbl[[#This Row],[selling_price]],"0.00"))</f>
        <v>P. P.id09.190.58</v>
      </c>
    </row>
    <row r="286" spans="1:14" x14ac:dyDescent="0.25">
      <c r="A286">
        <v>285</v>
      </c>
      <c r="B286" s="9" t="str">
        <f>TEXT(Sales__tbl[[#This Row],[date]],"MM")</f>
        <v>11</v>
      </c>
      <c r="C286" s="13">
        <v>45253</v>
      </c>
      <c r="D286" t="str">
        <f>_xlfn.XLOOKUP(Sales__tbl[[#This Row],[customer_id]],customer_tbl[customer_id],customer_tbl[Branch_id],"Not found")</f>
        <v>E01</v>
      </c>
      <c r="E286" t="s">
        <v>1165</v>
      </c>
      <c r="F286" t="s">
        <v>965</v>
      </c>
      <c r="G286" t="s">
        <v>847</v>
      </c>
      <c r="H286">
        <v>1</v>
      </c>
      <c r="I286">
        <v>168</v>
      </c>
      <c r="J286">
        <v>0.1</v>
      </c>
      <c r="K286" s="3">
        <v>16.799999999999983</v>
      </c>
      <c r="L286">
        <v>151.20000000000002</v>
      </c>
      <c r="M286">
        <v>29.460000000000022</v>
      </c>
      <c r="N286" t="str">
        <f>"P. "&amp;(Sales__tbl[[#This Row],[product_id]]&amp;"."&amp;TEXT(Sales__tbl[[#This Row],[selling_price]],"0.00"))</f>
        <v>P. P.id10.168.00</v>
      </c>
    </row>
    <row r="287" spans="1:14" x14ac:dyDescent="0.25">
      <c r="A287">
        <v>286</v>
      </c>
      <c r="B287" s="9" t="str">
        <f>TEXT(Sales__tbl[[#This Row],[date]],"MM")</f>
        <v>11</v>
      </c>
      <c r="C287" s="13">
        <v>45254</v>
      </c>
      <c r="D287" t="str">
        <f>_xlfn.XLOOKUP(Sales__tbl[[#This Row],[customer_id]],customer_tbl[customer_id],customer_tbl[Branch_id],"Not found")</f>
        <v>W02</v>
      </c>
      <c r="E287" t="s">
        <v>1080</v>
      </c>
      <c r="F287" t="s">
        <v>962</v>
      </c>
      <c r="G287" t="s">
        <v>941</v>
      </c>
      <c r="H287">
        <v>1</v>
      </c>
      <c r="I287">
        <v>259.11</v>
      </c>
      <c r="J287">
        <v>0.1</v>
      </c>
      <c r="K287" s="3">
        <v>25.911000000000001</v>
      </c>
      <c r="L287">
        <v>233.19900000000001</v>
      </c>
      <c r="M287">
        <v>59.299000000000007</v>
      </c>
      <c r="N287" t="str">
        <f>"P. "&amp;(Sales__tbl[[#This Row],[product_id]]&amp;"."&amp;TEXT(Sales__tbl[[#This Row],[selling_price]],"0.00"))</f>
        <v>P. P.id07.259.11</v>
      </c>
    </row>
    <row r="288" spans="1:14" x14ac:dyDescent="0.25">
      <c r="A288">
        <v>287</v>
      </c>
      <c r="B288" s="9" t="str">
        <f>TEXT(Sales__tbl[[#This Row],[date]],"MM")</f>
        <v>11</v>
      </c>
      <c r="C288" s="13">
        <v>45255</v>
      </c>
      <c r="D288" t="str">
        <f>_xlfn.XLOOKUP(Sales__tbl[[#This Row],[customer_id]],customer_tbl[customer_id],customer_tbl[Branch_id],"Not found")</f>
        <v>S02</v>
      </c>
      <c r="E288" t="s">
        <v>1019</v>
      </c>
      <c r="F288" t="s">
        <v>956</v>
      </c>
      <c r="G288" t="s">
        <v>831</v>
      </c>
      <c r="H288">
        <v>1</v>
      </c>
      <c r="I288">
        <v>303.48</v>
      </c>
      <c r="J288">
        <v>0.15</v>
      </c>
      <c r="K288" s="3">
        <v>45.521999999999991</v>
      </c>
      <c r="L288">
        <v>257.95800000000003</v>
      </c>
      <c r="M288">
        <v>64.658000000000015</v>
      </c>
      <c r="N288" t="str">
        <f>"P. "&amp;(Sales__tbl[[#This Row],[product_id]]&amp;"."&amp;TEXT(Sales__tbl[[#This Row],[selling_price]],"0.00"))</f>
        <v>P. P.id01.303.48</v>
      </c>
    </row>
    <row r="289" spans="1:14" x14ac:dyDescent="0.25">
      <c r="A289">
        <v>288</v>
      </c>
      <c r="B289" s="9" t="str">
        <f>TEXT(Sales__tbl[[#This Row],[date]],"MM")</f>
        <v>11</v>
      </c>
      <c r="C289" s="13">
        <v>45256</v>
      </c>
      <c r="D289" t="str">
        <f>_xlfn.XLOOKUP(Sales__tbl[[#This Row],[customer_id]],customer_tbl[customer_id],customer_tbl[Branch_id],"Not found")</f>
        <v>E01</v>
      </c>
      <c r="E289" t="s">
        <v>1047</v>
      </c>
      <c r="F289" t="s">
        <v>963</v>
      </c>
      <c r="G289" t="s">
        <v>942</v>
      </c>
      <c r="H289">
        <v>2</v>
      </c>
      <c r="I289">
        <v>274.16000000000003</v>
      </c>
      <c r="J289">
        <v>0.2</v>
      </c>
      <c r="K289" s="3">
        <v>109.66399999999999</v>
      </c>
      <c r="L289">
        <v>438.65600000000006</v>
      </c>
      <c r="M289">
        <v>57.87600000000009</v>
      </c>
      <c r="N289" t="str">
        <f>"P. "&amp;(Sales__tbl[[#This Row],[product_id]]&amp;"."&amp;TEXT(Sales__tbl[[#This Row],[selling_price]],"0.00"))</f>
        <v>P. P.id08.274.16</v>
      </c>
    </row>
    <row r="290" spans="1:14" x14ac:dyDescent="0.25">
      <c r="A290">
        <v>289</v>
      </c>
      <c r="B290" s="9" t="str">
        <f>TEXT(Sales__tbl[[#This Row],[date]],"MM")</f>
        <v>11</v>
      </c>
      <c r="C290" s="13">
        <v>45257</v>
      </c>
      <c r="D290" t="str">
        <f>_xlfn.XLOOKUP(Sales__tbl[[#This Row],[customer_id]],customer_tbl[customer_id],customer_tbl[Branch_id],"Not found")</f>
        <v>C01</v>
      </c>
      <c r="E290" t="s">
        <v>1077</v>
      </c>
      <c r="F290" t="s">
        <v>963</v>
      </c>
      <c r="G290" t="s">
        <v>942</v>
      </c>
      <c r="H290">
        <v>1</v>
      </c>
      <c r="I290">
        <v>274.16000000000003</v>
      </c>
      <c r="J290">
        <v>0.1</v>
      </c>
      <c r="K290" s="3">
        <v>27.415999999999997</v>
      </c>
      <c r="L290">
        <v>246.74400000000003</v>
      </c>
      <c r="M290">
        <v>56.354000000000042</v>
      </c>
      <c r="N290" t="str">
        <f>"P. "&amp;(Sales__tbl[[#This Row],[product_id]]&amp;"."&amp;TEXT(Sales__tbl[[#This Row],[selling_price]],"0.00"))</f>
        <v>P. P.id08.274.16</v>
      </c>
    </row>
    <row r="291" spans="1:14" x14ac:dyDescent="0.25">
      <c r="A291">
        <v>290</v>
      </c>
      <c r="B291" s="9" t="str">
        <f>TEXT(Sales__tbl[[#This Row],[date]],"MM")</f>
        <v>11</v>
      </c>
      <c r="C291" s="13">
        <v>45258</v>
      </c>
      <c r="D291" t="str">
        <f>_xlfn.XLOOKUP(Sales__tbl[[#This Row],[customer_id]],customer_tbl[customer_id],customer_tbl[Branch_id],"Not found")</f>
        <v>N02</v>
      </c>
      <c r="E291" t="s">
        <v>1166</v>
      </c>
      <c r="F291" t="s">
        <v>958</v>
      </c>
      <c r="G291" t="s">
        <v>939</v>
      </c>
      <c r="H291">
        <v>1</v>
      </c>
      <c r="I291">
        <v>90.53</v>
      </c>
      <c r="J291">
        <v>0</v>
      </c>
      <c r="K291" s="3">
        <v>0</v>
      </c>
      <c r="L291">
        <v>90.53</v>
      </c>
      <c r="M291">
        <v>12.489999999999995</v>
      </c>
      <c r="N291" t="str">
        <f>"P. "&amp;(Sales__tbl[[#This Row],[product_id]]&amp;"."&amp;TEXT(Sales__tbl[[#This Row],[selling_price]],"0.00"))</f>
        <v>P. P.id03.90.53</v>
      </c>
    </row>
    <row r="292" spans="1:14" x14ac:dyDescent="0.25">
      <c r="A292">
        <v>291</v>
      </c>
      <c r="B292" s="9" t="str">
        <f>TEXT(Sales__tbl[[#This Row],[date]],"MM")</f>
        <v>11</v>
      </c>
      <c r="C292" s="13">
        <v>45259</v>
      </c>
      <c r="D292" t="str">
        <f>_xlfn.XLOOKUP(Sales__tbl[[#This Row],[customer_id]],customer_tbl[customer_id],customer_tbl[Branch_id],"Not found")</f>
        <v>E02</v>
      </c>
      <c r="E292" t="s">
        <v>1126</v>
      </c>
      <c r="F292" t="s">
        <v>967</v>
      </c>
      <c r="G292" t="s">
        <v>872</v>
      </c>
      <c r="H292">
        <v>5</v>
      </c>
      <c r="I292">
        <v>91.73</v>
      </c>
      <c r="J292">
        <v>0.2</v>
      </c>
      <c r="K292" s="3">
        <v>91.729999999999961</v>
      </c>
      <c r="L292">
        <v>366.92000000000007</v>
      </c>
      <c r="M292">
        <v>-15.279999999999916</v>
      </c>
      <c r="N292" t="str">
        <f>"P. "&amp;(Sales__tbl[[#This Row],[product_id]]&amp;"."&amp;TEXT(Sales__tbl[[#This Row],[selling_price]],"0.00"))</f>
        <v>P. P.id12.91.73</v>
      </c>
    </row>
    <row r="293" spans="1:14" x14ac:dyDescent="0.25">
      <c r="A293">
        <v>292</v>
      </c>
      <c r="B293" s="9" t="str">
        <f>TEXT(Sales__tbl[[#This Row],[date]],"MM")</f>
        <v>11</v>
      </c>
      <c r="C293" s="13">
        <v>45260</v>
      </c>
      <c r="D293" t="str">
        <f>_xlfn.XLOOKUP(Sales__tbl[[#This Row],[customer_id]],customer_tbl[customer_id],customer_tbl[Branch_id],"Not found")</f>
        <v>W01</v>
      </c>
      <c r="E293" t="s">
        <v>1110</v>
      </c>
      <c r="F293" t="s">
        <v>966</v>
      </c>
      <c r="G293" t="s">
        <v>851</v>
      </c>
      <c r="H293">
        <v>1</v>
      </c>
      <c r="I293">
        <v>196.75</v>
      </c>
      <c r="J293">
        <v>0.1</v>
      </c>
      <c r="K293" s="3">
        <v>19.674999999999983</v>
      </c>
      <c r="L293">
        <v>177.07500000000002</v>
      </c>
      <c r="M293">
        <v>20.925000000000011</v>
      </c>
      <c r="N293" t="str">
        <f>"P. "&amp;(Sales__tbl[[#This Row],[product_id]]&amp;"."&amp;TEXT(Sales__tbl[[#This Row],[selling_price]],"0.00"))</f>
        <v>P. P.id11.196.75</v>
      </c>
    </row>
    <row r="294" spans="1:14" x14ac:dyDescent="0.25">
      <c r="A294">
        <v>293</v>
      </c>
      <c r="B294" s="9" t="str">
        <f>TEXT(Sales__tbl[[#This Row],[date]],"MM")</f>
        <v>12</v>
      </c>
      <c r="C294" s="13">
        <v>45261</v>
      </c>
      <c r="D294" t="str">
        <f>_xlfn.XLOOKUP(Sales__tbl[[#This Row],[customer_id]],customer_tbl[customer_id],customer_tbl[Branch_id],"Not found")</f>
        <v>W01</v>
      </c>
      <c r="E294" t="s">
        <v>1062</v>
      </c>
      <c r="F294" t="s">
        <v>966</v>
      </c>
      <c r="G294" t="s">
        <v>851</v>
      </c>
      <c r="H294">
        <v>2</v>
      </c>
      <c r="I294">
        <v>196.75</v>
      </c>
      <c r="J294">
        <v>0.15</v>
      </c>
      <c r="K294" s="3">
        <v>59.025000000000034</v>
      </c>
      <c r="L294">
        <v>334.47499999999997</v>
      </c>
      <c r="M294">
        <v>22.174999999999955</v>
      </c>
      <c r="N294" t="str">
        <f>"P. "&amp;(Sales__tbl[[#This Row],[product_id]]&amp;"."&amp;TEXT(Sales__tbl[[#This Row],[selling_price]],"0.00"))</f>
        <v>P. P.id11.196.75</v>
      </c>
    </row>
    <row r="295" spans="1:14" x14ac:dyDescent="0.25">
      <c r="A295">
        <v>294</v>
      </c>
      <c r="B295" s="9" t="str">
        <f>TEXT(Sales__tbl[[#This Row],[date]],"MM")</f>
        <v>12</v>
      </c>
      <c r="C295" s="13">
        <v>45262</v>
      </c>
      <c r="D295" t="str">
        <f>_xlfn.XLOOKUP(Sales__tbl[[#This Row],[customer_id]],customer_tbl[customer_id],customer_tbl[Branch_id],"Not found")</f>
        <v>N01</v>
      </c>
      <c r="E295" t="s">
        <v>1114</v>
      </c>
      <c r="F295" t="s">
        <v>958</v>
      </c>
      <c r="G295" t="s">
        <v>939</v>
      </c>
      <c r="H295">
        <v>1</v>
      </c>
      <c r="I295">
        <v>90.53</v>
      </c>
      <c r="J295">
        <v>0</v>
      </c>
      <c r="K295" s="3">
        <v>0</v>
      </c>
      <c r="L295">
        <v>90.53</v>
      </c>
      <c r="M295">
        <v>12.489999999999995</v>
      </c>
      <c r="N295" t="str">
        <f>"P. "&amp;(Sales__tbl[[#This Row],[product_id]]&amp;"."&amp;TEXT(Sales__tbl[[#This Row],[selling_price]],"0.00"))</f>
        <v>P. P.id03.90.53</v>
      </c>
    </row>
    <row r="296" spans="1:14" x14ac:dyDescent="0.25">
      <c r="A296">
        <v>295</v>
      </c>
      <c r="B296" s="9" t="str">
        <f>TEXT(Sales__tbl[[#This Row],[date]],"MM")</f>
        <v>12</v>
      </c>
      <c r="C296" s="13">
        <v>45263</v>
      </c>
      <c r="D296" t="str">
        <f>_xlfn.XLOOKUP(Sales__tbl[[#This Row],[customer_id]],customer_tbl[customer_id],customer_tbl[Branch_id],"Not found")</f>
        <v>W01</v>
      </c>
      <c r="E296" t="s">
        <v>995</v>
      </c>
      <c r="F296" t="s">
        <v>958</v>
      </c>
      <c r="G296" t="s">
        <v>939</v>
      </c>
      <c r="H296">
        <v>1</v>
      </c>
      <c r="I296">
        <v>90.53</v>
      </c>
      <c r="J296">
        <v>0</v>
      </c>
      <c r="K296" s="3">
        <v>0</v>
      </c>
      <c r="L296">
        <v>90.53</v>
      </c>
      <c r="M296">
        <v>12.489999999999995</v>
      </c>
      <c r="N296" t="str">
        <f>"P. "&amp;(Sales__tbl[[#This Row],[product_id]]&amp;"."&amp;TEXT(Sales__tbl[[#This Row],[selling_price]],"0.00"))</f>
        <v>P. P.id03.90.53</v>
      </c>
    </row>
    <row r="297" spans="1:14" x14ac:dyDescent="0.25">
      <c r="A297">
        <v>296</v>
      </c>
      <c r="B297" s="9" t="str">
        <f>TEXT(Sales__tbl[[#This Row],[date]],"MM")</f>
        <v>12</v>
      </c>
      <c r="C297" s="13">
        <v>45264</v>
      </c>
      <c r="D297" t="str">
        <f>_xlfn.XLOOKUP(Sales__tbl[[#This Row],[customer_id]],customer_tbl[customer_id],customer_tbl[Branch_id],"Not found")</f>
        <v>N01</v>
      </c>
      <c r="E297" t="s">
        <v>1020</v>
      </c>
      <c r="F297" t="s">
        <v>967</v>
      </c>
      <c r="G297" t="s">
        <v>872</v>
      </c>
      <c r="H297">
        <v>1</v>
      </c>
      <c r="I297">
        <v>91.73</v>
      </c>
      <c r="J297">
        <v>0</v>
      </c>
      <c r="K297" s="3">
        <v>0</v>
      </c>
      <c r="L297">
        <v>91.73</v>
      </c>
      <c r="M297">
        <v>15.290000000000006</v>
      </c>
      <c r="N297" t="str">
        <f>"P. "&amp;(Sales__tbl[[#This Row],[product_id]]&amp;"."&amp;TEXT(Sales__tbl[[#This Row],[selling_price]],"0.00"))</f>
        <v>P. P.id12.91.73</v>
      </c>
    </row>
    <row r="298" spans="1:14" x14ac:dyDescent="0.25">
      <c r="A298">
        <v>297</v>
      </c>
      <c r="B298" s="9" t="str">
        <f>TEXT(Sales__tbl[[#This Row],[date]],"MM")</f>
        <v>12</v>
      </c>
      <c r="C298" s="13">
        <v>45265</v>
      </c>
      <c r="D298" t="str">
        <f>_xlfn.XLOOKUP(Sales__tbl[[#This Row],[customer_id]],customer_tbl[customer_id],customer_tbl[Branch_id],"Not found")</f>
        <v>N01</v>
      </c>
      <c r="E298" t="s">
        <v>1012</v>
      </c>
      <c r="F298" t="s">
        <v>959</v>
      </c>
      <c r="G298" t="s">
        <v>837</v>
      </c>
      <c r="H298">
        <v>1</v>
      </c>
      <c r="I298">
        <v>11.53</v>
      </c>
      <c r="J298">
        <v>0</v>
      </c>
      <c r="K298" s="3">
        <v>0</v>
      </c>
      <c r="L298">
        <v>11.53</v>
      </c>
      <c r="M298">
        <v>2.5199999999999996</v>
      </c>
      <c r="N298" t="str">
        <f>"P. "&amp;(Sales__tbl[[#This Row],[product_id]]&amp;"."&amp;TEXT(Sales__tbl[[#This Row],[selling_price]],"0.00"))</f>
        <v>P. P.id04.11.53</v>
      </c>
    </row>
    <row r="299" spans="1:14" x14ac:dyDescent="0.25">
      <c r="A299">
        <v>298</v>
      </c>
      <c r="B299" s="9" t="str">
        <f>TEXT(Sales__tbl[[#This Row],[date]],"MM")</f>
        <v>12</v>
      </c>
      <c r="C299" s="13">
        <v>45266</v>
      </c>
      <c r="D299" t="str">
        <f>_xlfn.XLOOKUP(Sales__tbl[[#This Row],[customer_id]],customer_tbl[customer_id],customer_tbl[Branch_id],"Not found")</f>
        <v>W02</v>
      </c>
      <c r="E299" t="s">
        <v>1043</v>
      </c>
      <c r="F299" t="s">
        <v>962</v>
      </c>
      <c r="G299" t="s">
        <v>941</v>
      </c>
      <c r="H299">
        <v>1</v>
      </c>
      <c r="I299">
        <v>259.11</v>
      </c>
      <c r="J299">
        <v>0.1</v>
      </c>
      <c r="K299" s="3">
        <v>25.911000000000001</v>
      </c>
      <c r="L299">
        <v>233.19900000000001</v>
      </c>
      <c r="M299">
        <v>59.299000000000007</v>
      </c>
      <c r="N299" t="str">
        <f>"P. "&amp;(Sales__tbl[[#This Row],[product_id]]&amp;"."&amp;TEXT(Sales__tbl[[#This Row],[selling_price]],"0.00"))</f>
        <v>P. P.id07.259.11</v>
      </c>
    </row>
    <row r="300" spans="1:14" x14ac:dyDescent="0.25">
      <c r="A300">
        <v>299</v>
      </c>
      <c r="B300" s="9" t="str">
        <f>TEXT(Sales__tbl[[#This Row],[date]],"MM")</f>
        <v>12</v>
      </c>
      <c r="C300" s="13">
        <v>45267</v>
      </c>
      <c r="D300" t="str">
        <f>_xlfn.XLOOKUP(Sales__tbl[[#This Row],[customer_id]],customer_tbl[customer_id],customer_tbl[Branch_id],"Not found")</f>
        <v>N01</v>
      </c>
      <c r="E300" t="s">
        <v>1070</v>
      </c>
      <c r="F300" t="s">
        <v>959</v>
      </c>
      <c r="G300" t="s">
        <v>837</v>
      </c>
      <c r="H300">
        <v>1</v>
      </c>
      <c r="I300">
        <v>11.53</v>
      </c>
      <c r="J300">
        <v>0</v>
      </c>
      <c r="K300" s="3">
        <v>0</v>
      </c>
      <c r="L300">
        <v>11.53</v>
      </c>
      <c r="M300">
        <v>2.5199999999999996</v>
      </c>
      <c r="N300" t="str">
        <f>"P. "&amp;(Sales__tbl[[#This Row],[product_id]]&amp;"."&amp;TEXT(Sales__tbl[[#This Row],[selling_price]],"0.00"))</f>
        <v>P. P.id04.11.53</v>
      </c>
    </row>
    <row r="301" spans="1:14" x14ac:dyDescent="0.25">
      <c r="A301">
        <v>300</v>
      </c>
      <c r="B301" s="9" t="str">
        <f>TEXT(Sales__tbl[[#This Row],[date]],"MM")</f>
        <v>12</v>
      </c>
      <c r="C301" s="13">
        <v>45268</v>
      </c>
      <c r="D301" t="str">
        <f>_xlfn.XLOOKUP(Sales__tbl[[#This Row],[customer_id]],customer_tbl[customer_id],customer_tbl[Branch_id],"Not found")</f>
        <v>W02</v>
      </c>
      <c r="E301" t="s">
        <v>1167</v>
      </c>
      <c r="F301" t="s">
        <v>956</v>
      </c>
      <c r="G301" t="s">
        <v>831</v>
      </c>
      <c r="H301">
        <v>2</v>
      </c>
      <c r="I301">
        <v>303.48</v>
      </c>
      <c r="J301">
        <v>0.2</v>
      </c>
      <c r="K301" s="3">
        <v>121.392</v>
      </c>
      <c r="L301">
        <v>485.56800000000004</v>
      </c>
      <c r="M301">
        <v>98.968000000000018</v>
      </c>
      <c r="N301" t="str">
        <f>"P. "&amp;(Sales__tbl[[#This Row],[product_id]]&amp;"."&amp;TEXT(Sales__tbl[[#This Row],[selling_price]],"0.00"))</f>
        <v>P. P.id01.303.48</v>
      </c>
    </row>
    <row r="302" spans="1:14" x14ac:dyDescent="0.25">
      <c r="A302">
        <v>301</v>
      </c>
      <c r="B302" s="9" t="str">
        <f>TEXT(Sales__tbl[[#This Row],[date]],"MM")</f>
        <v>12</v>
      </c>
      <c r="C302" s="13">
        <v>45269</v>
      </c>
      <c r="D302" t="str">
        <f>_xlfn.XLOOKUP(Sales__tbl[[#This Row],[customer_id]],customer_tbl[customer_id],customer_tbl[Branch_id],"Not found")</f>
        <v>C02</v>
      </c>
      <c r="E302" t="s">
        <v>1009</v>
      </c>
      <c r="F302" t="s">
        <v>958</v>
      </c>
      <c r="G302" t="s">
        <v>939</v>
      </c>
      <c r="H302">
        <v>1</v>
      </c>
      <c r="I302">
        <v>90.53</v>
      </c>
      <c r="J302">
        <v>0</v>
      </c>
      <c r="K302" s="3">
        <v>0</v>
      </c>
      <c r="L302">
        <v>90.53</v>
      </c>
      <c r="M302">
        <v>12.489999999999995</v>
      </c>
      <c r="N302" t="str">
        <f>"P. "&amp;(Sales__tbl[[#This Row],[product_id]]&amp;"."&amp;TEXT(Sales__tbl[[#This Row],[selling_price]],"0.00"))</f>
        <v>P. P.id03.90.53</v>
      </c>
    </row>
    <row r="303" spans="1:14" x14ac:dyDescent="0.25">
      <c r="A303">
        <v>302</v>
      </c>
      <c r="B303" s="9" t="str">
        <f>TEXT(Sales__tbl[[#This Row],[date]],"MM")</f>
        <v>12</v>
      </c>
      <c r="C303" s="13">
        <v>45270</v>
      </c>
      <c r="D303" t="str">
        <f>_xlfn.XLOOKUP(Sales__tbl[[#This Row],[customer_id]],customer_tbl[customer_id],customer_tbl[Branch_id],"Not found")</f>
        <v>W02</v>
      </c>
      <c r="E303" t="s">
        <v>1043</v>
      </c>
      <c r="F303" t="s">
        <v>960</v>
      </c>
      <c r="G303" t="s">
        <v>839</v>
      </c>
      <c r="H303">
        <v>1</v>
      </c>
      <c r="I303">
        <v>165.45</v>
      </c>
      <c r="J303">
        <v>0.1</v>
      </c>
      <c r="K303" s="3">
        <v>16.544999999999987</v>
      </c>
      <c r="L303">
        <v>148.905</v>
      </c>
      <c r="M303">
        <v>25.435000000000002</v>
      </c>
      <c r="N303" t="str">
        <f>"P. "&amp;(Sales__tbl[[#This Row],[product_id]]&amp;"."&amp;TEXT(Sales__tbl[[#This Row],[selling_price]],"0.00"))</f>
        <v>P. P.id05.165.45</v>
      </c>
    </row>
    <row r="304" spans="1:14" x14ac:dyDescent="0.25">
      <c r="A304">
        <v>303</v>
      </c>
      <c r="B304" s="9" t="str">
        <f>TEXT(Sales__tbl[[#This Row],[date]],"MM")</f>
        <v>12</v>
      </c>
      <c r="C304" s="13">
        <v>45271</v>
      </c>
      <c r="D304" t="str">
        <f>_xlfn.XLOOKUP(Sales__tbl[[#This Row],[customer_id]],customer_tbl[customer_id],customer_tbl[Branch_id],"Not found")</f>
        <v>C01</v>
      </c>
      <c r="E304" t="s">
        <v>1077</v>
      </c>
      <c r="F304" t="s">
        <v>965</v>
      </c>
      <c r="G304" t="s">
        <v>847</v>
      </c>
      <c r="H304">
        <v>1</v>
      </c>
      <c r="I304">
        <v>168</v>
      </c>
      <c r="J304">
        <v>0.1</v>
      </c>
      <c r="K304" s="3">
        <v>16.799999999999983</v>
      </c>
      <c r="L304">
        <v>151.20000000000002</v>
      </c>
      <c r="M304">
        <v>29.460000000000022</v>
      </c>
      <c r="N304" t="str">
        <f>"P. "&amp;(Sales__tbl[[#This Row],[product_id]]&amp;"."&amp;TEXT(Sales__tbl[[#This Row],[selling_price]],"0.00"))</f>
        <v>P. P.id10.168.00</v>
      </c>
    </row>
    <row r="305" spans="1:14" x14ac:dyDescent="0.25">
      <c r="A305">
        <v>304</v>
      </c>
      <c r="B305" s="9" t="str">
        <f>TEXT(Sales__tbl[[#This Row],[date]],"MM")</f>
        <v>12</v>
      </c>
      <c r="C305" s="13">
        <v>45272</v>
      </c>
      <c r="D305" t="str">
        <f>_xlfn.XLOOKUP(Sales__tbl[[#This Row],[customer_id]],customer_tbl[customer_id],customer_tbl[Branch_id],"Not found")</f>
        <v>S02</v>
      </c>
      <c r="E305" t="s">
        <v>1057</v>
      </c>
      <c r="F305" t="s">
        <v>964</v>
      </c>
      <c r="G305" t="s">
        <v>943</v>
      </c>
      <c r="H305">
        <v>1</v>
      </c>
      <c r="I305">
        <v>190.58</v>
      </c>
      <c r="J305">
        <v>0.1</v>
      </c>
      <c r="K305" s="3">
        <v>19.057999999999993</v>
      </c>
      <c r="L305">
        <v>171.52200000000002</v>
      </c>
      <c r="M305">
        <v>23.782000000000011</v>
      </c>
      <c r="N305" t="str">
        <f>"P. "&amp;(Sales__tbl[[#This Row],[product_id]]&amp;"."&amp;TEXT(Sales__tbl[[#This Row],[selling_price]],"0.00"))</f>
        <v>P. P.id09.190.58</v>
      </c>
    </row>
    <row r="306" spans="1:14" x14ac:dyDescent="0.25">
      <c r="A306">
        <v>305</v>
      </c>
      <c r="B306" s="9" t="str">
        <f>TEXT(Sales__tbl[[#This Row],[date]],"MM")</f>
        <v>12</v>
      </c>
      <c r="C306" s="13">
        <v>45273</v>
      </c>
      <c r="D306" t="str">
        <f>_xlfn.XLOOKUP(Sales__tbl[[#This Row],[customer_id]],customer_tbl[customer_id],customer_tbl[Branch_id],"Not found")</f>
        <v>C02</v>
      </c>
      <c r="E306" t="s">
        <v>1054</v>
      </c>
      <c r="F306" t="s">
        <v>957</v>
      </c>
      <c r="G306" t="s">
        <v>833</v>
      </c>
      <c r="H306">
        <v>2</v>
      </c>
      <c r="I306">
        <v>55.26</v>
      </c>
      <c r="J306">
        <v>0</v>
      </c>
      <c r="K306" s="3">
        <v>0</v>
      </c>
      <c r="L306">
        <v>110.52</v>
      </c>
      <c r="M306">
        <v>39.679999999999993</v>
      </c>
      <c r="N306" t="str">
        <f>"P. "&amp;(Sales__tbl[[#This Row],[product_id]]&amp;"."&amp;TEXT(Sales__tbl[[#This Row],[selling_price]],"0.00"))</f>
        <v>P. P.id02.55.26</v>
      </c>
    </row>
    <row r="307" spans="1:14" x14ac:dyDescent="0.25">
      <c r="A307">
        <v>306</v>
      </c>
      <c r="B307" s="9" t="str">
        <f>TEXT(Sales__tbl[[#This Row],[date]],"MM")</f>
        <v>12</v>
      </c>
      <c r="C307" s="13">
        <v>45274</v>
      </c>
      <c r="D307" t="str">
        <f>_xlfn.XLOOKUP(Sales__tbl[[#This Row],[customer_id]],customer_tbl[customer_id],customer_tbl[Branch_id],"Not found")</f>
        <v>N01</v>
      </c>
      <c r="E307" t="s">
        <v>1145</v>
      </c>
      <c r="F307" t="s">
        <v>961</v>
      </c>
      <c r="G307" t="s">
        <v>940</v>
      </c>
      <c r="H307">
        <v>1</v>
      </c>
      <c r="I307">
        <v>66.790000000000006</v>
      </c>
      <c r="J307">
        <v>0</v>
      </c>
      <c r="K307" s="3">
        <v>0</v>
      </c>
      <c r="L307">
        <v>66.790000000000006</v>
      </c>
      <c r="M307">
        <v>22.850000000000009</v>
      </c>
      <c r="N307" t="str">
        <f>"P. "&amp;(Sales__tbl[[#This Row],[product_id]]&amp;"."&amp;TEXT(Sales__tbl[[#This Row],[selling_price]],"0.00"))</f>
        <v>P. P.id06.66.79</v>
      </c>
    </row>
    <row r="308" spans="1:14" x14ac:dyDescent="0.25">
      <c r="A308">
        <v>307</v>
      </c>
      <c r="B308" s="9" t="str">
        <f>TEXT(Sales__tbl[[#This Row],[date]],"MM")</f>
        <v>12</v>
      </c>
      <c r="C308" s="13">
        <v>45275</v>
      </c>
      <c r="D308" t="str">
        <f>_xlfn.XLOOKUP(Sales__tbl[[#This Row],[customer_id]],customer_tbl[customer_id],customer_tbl[Branch_id],"Not found")</f>
        <v>S01</v>
      </c>
      <c r="E308" t="s">
        <v>1168</v>
      </c>
      <c r="F308" t="s">
        <v>956</v>
      </c>
      <c r="G308" t="s">
        <v>831</v>
      </c>
      <c r="H308">
        <v>1</v>
      </c>
      <c r="I308">
        <v>303.48</v>
      </c>
      <c r="J308">
        <v>0.15</v>
      </c>
      <c r="K308" s="3">
        <v>45.521999999999991</v>
      </c>
      <c r="L308">
        <v>257.95800000000003</v>
      </c>
      <c r="M308">
        <v>64.658000000000015</v>
      </c>
      <c r="N308" t="str">
        <f>"P. "&amp;(Sales__tbl[[#This Row],[product_id]]&amp;"."&amp;TEXT(Sales__tbl[[#This Row],[selling_price]],"0.00"))</f>
        <v>P. P.id01.303.48</v>
      </c>
    </row>
    <row r="309" spans="1:14" x14ac:dyDescent="0.25">
      <c r="A309">
        <v>308</v>
      </c>
      <c r="B309" s="9" t="str">
        <f>TEXT(Sales__tbl[[#This Row],[date]],"MM")</f>
        <v>12</v>
      </c>
      <c r="C309" s="13">
        <v>45276</v>
      </c>
      <c r="D309" t="str">
        <f>_xlfn.XLOOKUP(Sales__tbl[[#This Row],[customer_id]],customer_tbl[customer_id],customer_tbl[Branch_id],"Not found")</f>
        <v>W01</v>
      </c>
      <c r="E309" t="s">
        <v>1007</v>
      </c>
      <c r="F309" t="s">
        <v>965</v>
      </c>
      <c r="G309" t="s">
        <v>847</v>
      </c>
      <c r="H309">
        <v>2</v>
      </c>
      <c r="I309">
        <v>168</v>
      </c>
      <c r="J309">
        <v>0.15</v>
      </c>
      <c r="K309" s="3">
        <v>50.400000000000034</v>
      </c>
      <c r="L309">
        <v>285.59999999999997</v>
      </c>
      <c r="M309">
        <v>42.119999999999976</v>
      </c>
      <c r="N309" t="str">
        <f>"P. "&amp;(Sales__tbl[[#This Row],[product_id]]&amp;"."&amp;TEXT(Sales__tbl[[#This Row],[selling_price]],"0.00"))</f>
        <v>P. P.id10.168.00</v>
      </c>
    </row>
    <row r="310" spans="1:14" x14ac:dyDescent="0.25">
      <c r="A310">
        <v>309</v>
      </c>
      <c r="B310" s="9" t="str">
        <f>TEXT(Sales__tbl[[#This Row],[date]],"MM")</f>
        <v>12</v>
      </c>
      <c r="C310" s="13">
        <v>45277</v>
      </c>
      <c r="D310" t="str">
        <f>_xlfn.XLOOKUP(Sales__tbl[[#This Row],[customer_id]],customer_tbl[customer_id],customer_tbl[Branch_id],"Not found")</f>
        <v>W01</v>
      </c>
      <c r="E310" t="s">
        <v>1157</v>
      </c>
      <c r="F310" t="s">
        <v>962</v>
      </c>
      <c r="G310" t="s">
        <v>941</v>
      </c>
      <c r="H310">
        <v>1</v>
      </c>
      <c r="I310">
        <v>259.11</v>
      </c>
      <c r="J310">
        <v>0.1</v>
      </c>
      <c r="K310" s="3">
        <v>25.911000000000001</v>
      </c>
      <c r="L310">
        <v>233.19900000000001</v>
      </c>
      <c r="M310">
        <v>59.299000000000007</v>
      </c>
      <c r="N310" t="str">
        <f>"P. "&amp;(Sales__tbl[[#This Row],[product_id]]&amp;"."&amp;TEXT(Sales__tbl[[#This Row],[selling_price]],"0.00"))</f>
        <v>P. P.id07.259.11</v>
      </c>
    </row>
    <row r="311" spans="1:14" x14ac:dyDescent="0.25">
      <c r="A311">
        <v>310</v>
      </c>
      <c r="B311" s="9" t="str">
        <f>TEXT(Sales__tbl[[#This Row],[date]],"MM")</f>
        <v>12</v>
      </c>
      <c r="C311" s="13">
        <v>45278</v>
      </c>
      <c r="D311" t="str">
        <f>_xlfn.XLOOKUP(Sales__tbl[[#This Row],[customer_id]],customer_tbl[customer_id],customer_tbl[Branch_id],"Not found")</f>
        <v>E01</v>
      </c>
      <c r="E311" t="s">
        <v>1169</v>
      </c>
      <c r="F311" t="s">
        <v>959</v>
      </c>
      <c r="G311" t="s">
        <v>837</v>
      </c>
      <c r="H311">
        <v>2</v>
      </c>
      <c r="I311">
        <v>11.53</v>
      </c>
      <c r="J311">
        <v>0</v>
      </c>
      <c r="K311" s="3">
        <v>0</v>
      </c>
      <c r="L311">
        <v>23.06</v>
      </c>
      <c r="M311">
        <v>5.0399999999999991</v>
      </c>
      <c r="N311" t="str">
        <f>"P. "&amp;(Sales__tbl[[#This Row],[product_id]]&amp;"."&amp;TEXT(Sales__tbl[[#This Row],[selling_price]],"0.00"))</f>
        <v>P. P.id04.11.53</v>
      </c>
    </row>
    <row r="312" spans="1:14" x14ac:dyDescent="0.25">
      <c r="A312">
        <v>311</v>
      </c>
      <c r="B312" s="9" t="str">
        <f>TEXT(Sales__tbl[[#This Row],[date]],"MM")</f>
        <v>12</v>
      </c>
      <c r="C312" s="13">
        <v>45279</v>
      </c>
      <c r="D312" t="str">
        <f>_xlfn.XLOOKUP(Sales__tbl[[#This Row],[customer_id]],customer_tbl[customer_id],customer_tbl[Branch_id],"Not found")</f>
        <v>C01</v>
      </c>
      <c r="E312" t="s">
        <v>999</v>
      </c>
      <c r="F312" t="s">
        <v>960</v>
      </c>
      <c r="G312" t="s">
        <v>839</v>
      </c>
      <c r="H312">
        <v>1</v>
      </c>
      <c r="I312">
        <v>165.45</v>
      </c>
      <c r="J312">
        <v>0.1</v>
      </c>
      <c r="K312" s="3">
        <v>16.544999999999987</v>
      </c>
      <c r="L312">
        <v>148.905</v>
      </c>
      <c r="M312">
        <v>25.435000000000002</v>
      </c>
      <c r="N312" t="str">
        <f>"P. "&amp;(Sales__tbl[[#This Row],[product_id]]&amp;"."&amp;TEXT(Sales__tbl[[#This Row],[selling_price]],"0.00"))</f>
        <v>P. P.id05.165.45</v>
      </c>
    </row>
    <row r="313" spans="1:14" x14ac:dyDescent="0.25">
      <c r="A313">
        <v>312</v>
      </c>
      <c r="B313" s="9" t="str">
        <f>TEXT(Sales__tbl[[#This Row],[date]],"MM")</f>
        <v>12</v>
      </c>
      <c r="C313" s="13">
        <v>45280</v>
      </c>
      <c r="D313" t="str">
        <f>_xlfn.XLOOKUP(Sales__tbl[[#This Row],[customer_id]],customer_tbl[customer_id],customer_tbl[Branch_id],"Not found")</f>
        <v>N01</v>
      </c>
      <c r="E313" t="s">
        <v>1170</v>
      </c>
      <c r="F313" t="s">
        <v>963</v>
      </c>
      <c r="G313" t="s">
        <v>942</v>
      </c>
      <c r="H313">
        <v>1</v>
      </c>
      <c r="I313">
        <v>274.16000000000003</v>
      </c>
      <c r="J313">
        <v>0.1</v>
      </c>
      <c r="K313" s="3">
        <v>27.415999999999997</v>
      </c>
      <c r="L313">
        <v>246.74400000000003</v>
      </c>
      <c r="M313">
        <v>56.354000000000042</v>
      </c>
      <c r="N313" t="str">
        <f>"P. "&amp;(Sales__tbl[[#This Row],[product_id]]&amp;"."&amp;TEXT(Sales__tbl[[#This Row],[selling_price]],"0.00"))</f>
        <v>P. P.id08.274.16</v>
      </c>
    </row>
    <row r="314" spans="1:14" x14ac:dyDescent="0.25">
      <c r="A314">
        <v>313</v>
      </c>
      <c r="B314" s="9" t="str">
        <f>TEXT(Sales__tbl[[#This Row],[date]],"MM")</f>
        <v>12</v>
      </c>
      <c r="C314" s="13">
        <v>45281</v>
      </c>
      <c r="D314" t="str">
        <f>_xlfn.XLOOKUP(Sales__tbl[[#This Row],[customer_id]],customer_tbl[customer_id],customer_tbl[Branch_id],"Not found")</f>
        <v>C01</v>
      </c>
      <c r="E314" t="s">
        <v>1006</v>
      </c>
      <c r="F314" t="s">
        <v>963</v>
      </c>
      <c r="G314" t="s">
        <v>942</v>
      </c>
      <c r="H314">
        <v>1</v>
      </c>
      <c r="I314">
        <v>274.16000000000003</v>
      </c>
      <c r="J314">
        <v>0.1</v>
      </c>
      <c r="K314" s="3">
        <v>27.415999999999997</v>
      </c>
      <c r="L314">
        <v>246.74400000000003</v>
      </c>
      <c r="M314">
        <v>56.354000000000042</v>
      </c>
      <c r="N314" t="str">
        <f>"P. "&amp;(Sales__tbl[[#This Row],[product_id]]&amp;"."&amp;TEXT(Sales__tbl[[#This Row],[selling_price]],"0.00"))</f>
        <v>P. P.id08.274.16</v>
      </c>
    </row>
    <row r="315" spans="1:14" x14ac:dyDescent="0.25">
      <c r="A315">
        <v>314</v>
      </c>
      <c r="B315" s="9" t="str">
        <f>TEXT(Sales__tbl[[#This Row],[date]],"MM")</f>
        <v>12</v>
      </c>
      <c r="C315" s="13">
        <v>45282</v>
      </c>
      <c r="D315" t="str">
        <f>_xlfn.XLOOKUP(Sales__tbl[[#This Row],[customer_id]],customer_tbl[customer_id],customer_tbl[Branch_id],"Not found")</f>
        <v>S01</v>
      </c>
      <c r="E315" t="s">
        <v>1021</v>
      </c>
      <c r="F315" t="s">
        <v>961</v>
      </c>
      <c r="G315" t="s">
        <v>940</v>
      </c>
      <c r="H315">
        <v>1</v>
      </c>
      <c r="I315">
        <v>66.790000000000006</v>
      </c>
      <c r="J315">
        <v>0</v>
      </c>
      <c r="K315" s="3">
        <v>0</v>
      </c>
      <c r="L315">
        <v>66.790000000000006</v>
      </c>
      <c r="M315">
        <v>22.850000000000009</v>
      </c>
      <c r="N315" t="str">
        <f>"P. "&amp;(Sales__tbl[[#This Row],[product_id]]&amp;"."&amp;TEXT(Sales__tbl[[#This Row],[selling_price]],"0.00"))</f>
        <v>P. P.id06.66.79</v>
      </c>
    </row>
    <row r="316" spans="1:14" x14ac:dyDescent="0.25">
      <c r="A316">
        <v>315</v>
      </c>
      <c r="B316" s="9" t="str">
        <f>TEXT(Sales__tbl[[#This Row],[date]],"MM")</f>
        <v>12</v>
      </c>
      <c r="C316" s="13">
        <v>45283</v>
      </c>
      <c r="D316" t="str">
        <f>_xlfn.XLOOKUP(Sales__tbl[[#This Row],[customer_id]],customer_tbl[customer_id],customer_tbl[Branch_id],"Not found")</f>
        <v>N02</v>
      </c>
      <c r="E316" t="s">
        <v>985</v>
      </c>
      <c r="F316" t="s">
        <v>965</v>
      </c>
      <c r="G316" t="s">
        <v>847</v>
      </c>
      <c r="H316">
        <v>4</v>
      </c>
      <c r="I316">
        <v>168</v>
      </c>
      <c r="J316">
        <v>0.2</v>
      </c>
      <c r="K316" s="3">
        <v>134.39999999999998</v>
      </c>
      <c r="L316">
        <v>537.6</v>
      </c>
      <c r="M316">
        <v>50.640000000000043</v>
      </c>
      <c r="N316" t="str">
        <f>"P. "&amp;(Sales__tbl[[#This Row],[product_id]]&amp;"."&amp;TEXT(Sales__tbl[[#This Row],[selling_price]],"0.00"))</f>
        <v>P. P.id10.168.00</v>
      </c>
    </row>
    <row r="317" spans="1:14" x14ac:dyDescent="0.25">
      <c r="A317">
        <v>316</v>
      </c>
      <c r="B317" s="9" t="str">
        <f>TEXT(Sales__tbl[[#This Row],[date]],"MM")</f>
        <v>12</v>
      </c>
      <c r="C317" s="13">
        <v>45284</v>
      </c>
      <c r="D317" t="str">
        <f>_xlfn.XLOOKUP(Sales__tbl[[#This Row],[customer_id]],customer_tbl[customer_id],customer_tbl[Branch_id],"Not found")</f>
        <v>S01</v>
      </c>
      <c r="E317" t="s">
        <v>1171</v>
      </c>
      <c r="F317" t="s">
        <v>961</v>
      </c>
      <c r="G317" t="s">
        <v>940</v>
      </c>
      <c r="H317">
        <v>1</v>
      </c>
      <c r="I317">
        <v>66.790000000000006</v>
      </c>
      <c r="J317">
        <v>0</v>
      </c>
      <c r="K317" s="3">
        <v>0</v>
      </c>
      <c r="L317">
        <v>66.790000000000006</v>
      </c>
      <c r="M317">
        <v>22.850000000000009</v>
      </c>
      <c r="N317" t="str">
        <f>"P. "&amp;(Sales__tbl[[#This Row],[product_id]]&amp;"."&amp;TEXT(Sales__tbl[[#This Row],[selling_price]],"0.00"))</f>
        <v>P. P.id06.66.79</v>
      </c>
    </row>
    <row r="318" spans="1:14" x14ac:dyDescent="0.25">
      <c r="A318">
        <v>317</v>
      </c>
      <c r="B318" s="9" t="str">
        <f>TEXT(Sales__tbl[[#This Row],[date]],"MM")</f>
        <v>12</v>
      </c>
      <c r="C318" s="13">
        <v>45285</v>
      </c>
      <c r="D318" t="str">
        <f>_xlfn.XLOOKUP(Sales__tbl[[#This Row],[customer_id]],customer_tbl[customer_id],customer_tbl[Branch_id],"Not found")</f>
        <v>W02</v>
      </c>
      <c r="E318" t="s">
        <v>1101</v>
      </c>
      <c r="F318" t="s">
        <v>961</v>
      </c>
      <c r="G318" t="s">
        <v>940</v>
      </c>
      <c r="H318">
        <v>1</v>
      </c>
      <c r="I318">
        <v>66.790000000000006</v>
      </c>
      <c r="J318">
        <v>0</v>
      </c>
      <c r="K318" s="3">
        <v>0</v>
      </c>
      <c r="L318">
        <v>66.790000000000006</v>
      </c>
      <c r="M318">
        <v>22.850000000000009</v>
      </c>
      <c r="N318" t="str">
        <f>"P. "&amp;(Sales__tbl[[#This Row],[product_id]]&amp;"."&amp;TEXT(Sales__tbl[[#This Row],[selling_price]],"0.00"))</f>
        <v>P. P.id06.66.79</v>
      </c>
    </row>
    <row r="319" spans="1:14" x14ac:dyDescent="0.25">
      <c r="A319">
        <v>318</v>
      </c>
      <c r="B319" s="9" t="str">
        <f>TEXT(Sales__tbl[[#This Row],[date]],"MM")</f>
        <v>12</v>
      </c>
      <c r="C319" s="13">
        <v>45286</v>
      </c>
      <c r="D319" t="str">
        <f>_xlfn.XLOOKUP(Sales__tbl[[#This Row],[customer_id]],customer_tbl[customer_id],customer_tbl[Branch_id],"Not found")</f>
        <v>C02</v>
      </c>
      <c r="E319" t="s">
        <v>1106</v>
      </c>
      <c r="F319" t="s">
        <v>960</v>
      </c>
      <c r="G319" t="s">
        <v>839</v>
      </c>
      <c r="H319">
        <v>1</v>
      </c>
      <c r="I319">
        <v>165.45</v>
      </c>
      <c r="J319">
        <v>0.1</v>
      </c>
      <c r="K319" s="3">
        <v>16.544999999999987</v>
      </c>
      <c r="L319">
        <v>148.905</v>
      </c>
      <c r="M319">
        <v>25.435000000000002</v>
      </c>
      <c r="N319" t="str">
        <f>"P. "&amp;(Sales__tbl[[#This Row],[product_id]]&amp;"."&amp;TEXT(Sales__tbl[[#This Row],[selling_price]],"0.00"))</f>
        <v>P. P.id05.165.45</v>
      </c>
    </row>
    <row r="320" spans="1:14" x14ac:dyDescent="0.25">
      <c r="A320">
        <v>319</v>
      </c>
      <c r="B320" s="9" t="str">
        <f>TEXT(Sales__tbl[[#This Row],[date]],"MM")</f>
        <v>12</v>
      </c>
      <c r="C320" s="13">
        <v>45287</v>
      </c>
      <c r="D320" t="str">
        <f>_xlfn.XLOOKUP(Sales__tbl[[#This Row],[customer_id]],customer_tbl[customer_id],customer_tbl[Branch_id],"Not found")</f>
        <v>N01</v>
      </c>
      <c r="E320" t="s">
        <v>1172</v>
      </c>
      <c r="F320" t="s">
        <v>961</v>
      </c>
      <c r="G320" t="s">
        <v>940</v>
      </c>
      <c r="H320">
        <v>1</v>
      </c>
      <c r="I320">
        <v>66.790000000000006</v>
      </c>
      <c r="J320">
        <v>0</v>
      </c>
      <c r="K320" s="3">
        <v>0</v>
      </c>
      <c r="L320">
        <v>66.790000000000006</v>
      </c>
      <c r="M320">
        <v>22.850000000000009</v>
      </c>
      <c r="N320" t="str">
        <f>"P. "&amp;(Sales__tbl[[#This Row],[product_id]]&amp;"."&amp;TEXT(Sales__tbl[[#This Row],[selling_price]],"0.00"))</f>
        <v>P. P.id06.66.79</v>
      </c>
    </row>
    <row r="321" spans="1:14" x14ac:dyDescent="0.25">
      <c r="A321">
        <v>320</v>
      </c>
      <c r="B321" s="9" t="str">
        <f>TEXT(Sales__tbl[[#This Row],[date]],"MM")</f>
        <v>12</v>
      </c>
      <c r="C321" s="13">
        <v>45288</v>
      </c>
      <c r="D321" t="str">
        <f>_xlfn.XLOOKUP(Sales__tbl[[#This Row],[customer_id]],customer_tbl[customer_id],customer_tbl[Branch_id],"Not found")</f>
        <v>E02</v>
      </c>
      <c r="E321" t="s">
        <v>1091</v>
      </c>
      <c r="F321" t="s">
        <v>967</v>
      </c>
      <c r="G321" t="s">
        <v>872</v>
      </c>
      <c r="H321">
        <v>1</v>
      </c>
      <c r="I321">
        <v>91.73</v>
      </c>
      <c r="J321">
        <v>0</v>
      </c>
      <c r="K321" s="3">
        <v>0</v>
      </c>
      <c r="L321">
        <v>91.73</v>
      </c>
      <c r="M321">
        <v>15.290000000000006</v>
      </c>
      <c r="N321" t="str">
        <f>"P. "&amp;(Sales__tbl[[#This Row],[product_id]]&amp;"."&amp;TEXT(Sales__tbl[[#This Row],[selling_price]],"0.00"))</f>
        <v>P. P.id12.91.73</v>
      </c>
    </row>
    <row r="322" spans="1:14" x14ac:dyDescent="0.25">
      <c r="A322">
        <v>321</v>
      </c>
      <c r="B322" s="9" t="str">
        <f>TEXT(Sales__tbl[[#This Row],[date]],"MM")</f>
        <v>12</v>
      </c>
      <c r="C322" s="13">
        <v>45289</v>
      </c>
      <c r="D322" t="str">
        <f>_xlfn.XLOOKUP(Sales__tbl[[#This Row],[customer_id]],customer_tbl[customer_id],customer_tbl[Branch_id],"Not found")</f>
        <v>E01</v>
      </c>
      <c r="E322" t="s">
        <v>1173</v>
      </c>
      <c r="F322" t="s">
        <v>958</v>
      </c>
      <c r="G322" t="s">
        <v>939</v>
      </c>
      <c r="H322">
        <v>1</v>
      </c>
      <c r="I322">
        <v>90.53</v>
      </c>
      <c r="J322">
        <v>0</v>
      </c>
      <c r="K322" s="3">
        <v>0</v>
      </c>
      <c r="L322">
        <v>90.53</v>
      </c>
      <c r="M322">
        <v>12.489999999999995</v>
      </c>
      <c r="N322" t="str">
        <f>"P. "&amp;(Sales__tbl[[#This Row],[product_id]]&amp;"."&amp;TEXT(Sales__tbl[[#This Row],[selling_price]],"0.00"))</f>
        <v>P. P.id03.90.53</v>
      </c>
    </row>
    <row r="323" spans="1:14" x14ac:dyDescent="0.25">
      <c r="A323">
        <v>322</v>
      </c>
      <c r="B323" s="9" t="str">
        <f>TEXT(Sales__tbl[[#This Row],[date]],"MM")</f>
        <v>12</v>
      </c>
      <c r="C323" s="13">
        <v>45290</v>
      </c>
      <c r="D323" t="str">
        <f>_xlfn.XLOOKUP(Sales__tbl[[#This Row],[customer_id]],customer_tbl[customer_id],customer_tbl[Branch_id],"Not found")</f>
        <v>S01</v>
      </c>
      <c r="E323" t="s">
        <v>1021</v>
      </c>
      <c r="F323" t="s">
        <v>959</v>
      </c>
      <c r="G323" t="s">
        <v>837</v>
      </c>
      <c r="H323">
        <v>1</v>
      </c>
      <c r="I323">
        <v>11.53</v>
      </c>
      <c r="J323">
        <v>0</v>
      </c>
      <c r="K323" s="3">
        <v>0</v>
      </c>
      <c r="L323">
        <v>11.53</v>
      </c>
      <c r="M323">
        <v>2.5199999999999996</v>
      </c>
      <c r="N323" t="str">
        <f>"P. "&amp;(Sales__tbl[[#This Row],[product_id]]&amp;"."&amp;TEXT(Sales__tbl[[#This Row],[selling_price]],"0.00"))</f>
        <v>P. P.id04.11.53</v>
      </c>
    </row>
    <row r="324" spans="1:14" x14ac:dyDescent="0.25">
      <c r="A324">
        <v>323</v>
      </c>
      <c r="B324" s="9" t="str">
        <f>TEXT(Sales__tbl[[#This Row],[date]],"MM")</f>
        <v>12</v>
      </c>
      <c r="C324" s="13">
        <v>45291</v>
      </c>
      <c r="D324" t="str">
        <f>_xlfn.XLOOKUP(Sales__tbl[[#This Row],[customer_id]],customer_tbl[customer_id],customer_tbl[Branch_id],"Not found")</f>
        <v>C01</v>
      </c>
      <c r="E324" t="s">
        <v>1045</v>
      </c>
      <c r="F324" t="s">
        <v>961</v>
      </c>
      <c r="G324" t="s">
        <v>940</v>
      </c>
      <c r="H324">
        <v>1</v>
      </c>
      <c r="I324">
        <v>66.790000000000006</v>
      </c>
      <c r="J324">
        <v>0</v>
      </c>
      <c r="K324" s="3">
        <v>0</v>
      </c>
      <c r="L324">
        <v>66.790000000000006</v>
      </c>
      <c r="M324">
        <v>22.850000000000009</v>
      </c>
      <c r="N324" t="str">
        <f>"P. "&amp;(Sales__tbl[[#This Row],[product_id]]&amp;"."&amp;TEXT(Sales__tbl[[#This Row],[selling_price]],"0.00"))</f>
        <v>P. P.id06.66.79</v>
      </c>
    </row>
    <row r="325" spans="1:14" x14ac:dyDescent="0.25">
      <c r="A325">
        <v>324</v>
      </c>
      <c r="B325" s="9" t="str">
        <f>TEXT(Sales__tbl[[#This Row],[date]],"MM")</f>
        <v>01</v>
      </c>
      <c r="C325" s="13">
        <v>45292</v>
      </c>
      <c r="D325" t="str">
        <f>_xlfn.XLOOKUP(Sales__tbl[[#This Row],[customer_id]],customer_tbl[customer_id],customer_tbl[Branch_id],"Not found")</f>
        <v>E02</v>
      </c>
      <c r="E325" t="s">
        <v>1068</v>
      </c>
      <c r="F325" t="s">
        <v>965</v>
      </c>
      <c r="G325" t="s">
        <v>847</v>
      </c>
      <c r="H325">
        <v>1</v>
      </c>
      <c r="I325">
        <v>168</v>
      </c>
      <c r="J325">
        <v>0.1</v>
      </c>
      <c r="K325" s="3">
        <v>16.799999999999983</v>
      </c>
      <c r="L325">
        <v>151.20000000000002</v>
      </c>
      <c r="M325">
        <v>29.460000000000022</v>
      </c>
      <c r="N325" t="str">
        <f>"P. "&amp;(Sales__tbl[[#This Row],[product_id]]&amp;"."&amp;TEXT(Sales__tbl[[#This Row],[selling_price]],"0.00"))</f>
        <v>P. P.id10.168.00</v>
      </c>
    </row>
    <row r="326" spans="1:14" x14ac:dyDescent="0.25">
      <c r="A326">
        <v>325</v>
      </c>
      <c r="B326" s="9" t="str">
        <f>TEXT(Sales__tbl[[#This Row],[date]],"MM")</f>
        <v>01</v>
      </c>
      <c r="C326" s="13">
        <v>45293</v>
      </c>
      <c r="D326" t="str">
        <f>_xlfn.XLOOKUP(Sales__tbl[[#This Row],[customer_id]],customer_tbl[customer_id],customer_tbl[Branch_id],"Not found")</f>
        <v>N01</v>
      </c>
      <c r="E326" t="s">
        <v>1145</v>
      </c>
      <c r="F326" t="s">
        <v>966</v>
      </c>
      <c r="G326" t="s">
        <v>851</v>
      </c>
      <c r="H326">
        <v>1</v>
      </c>
      <c r="I326">
        <v>196.75</v>
      </c>
      <c r="J326">
        <v>0.1</v>
      </c>
      <c r="K326" s="3">
        <v>19.674999999999983</v>
      </c>
      <c r="L326">
        <v>177.07500000000002</v>
      </c>
      <c r="M326">
        <v>20.925000000000011</v>
      </c>
      <c r="N326" t="str">
        <f>"P. "&amp;(Sales__tbl[[#This Row],[product_id]]&amp;"."&amp;TEXT(Sales__tbl[[#This Row],[selling_price]],"0.00"))</f>
        <v>P. P.id11.196.75</v>
      </c>
    </row>
    <row r="327" spans="1:14" x14ac:dyDescent="0.25">
      <c r="A327">
        <v>326</v>
      </c>
      <c r="B327" s="9" t="str">
        <f>TEXT(Sales__tbl[[#This Row],[date]],"MM")</f>
        <v>01</v>
      </c>
      <c r="C327" s="13">
        <v>45294</v>
      </c>
      <c r="D327" t="str">
        <f>_xlfn.XLOOKUP(Sales__tbl[[#This Row],[customer_id]],customer_tbl[customer_id],customer_tbl[Branch_id],"Not found")</f>
        <v>C02</v>
      </c>
      <c r="E327" t="s">
        <v>1009</v>
      </c>
      <c r="F327" t="s">
        <v>964</v>
      </c>
      <c r="G327" t="s">
        <v>943</v>
      </c>
      <c r="H327">
        <v>2</v>
      </c>
      <c r="I327">
        <v>190.58</v>
      </c>
      <c r="J327">
        <v>0.15</v>
      </c>
      <c r="K327" s="3">
        <v>57.174000000000035</v>
      </c>
      <c r="L327">
        <v>323.98599999999999</v>
      </c>
      <c r="M327">
        <v>28.505999999999972</v>
      </c>
      <c r="N327" t="str">
        <f>"P. "&amp;(Sales__tbl[[#This Row],[product_id]]&amp;"."&amp;TEXT(Sales__tbl[[#This Row],[selling_price]],"0.00"))</f>
        <v>P. P.id09.190.58</v>
      </c>
    </row>
    <row r="328" spans="1:14" x14ac:dyDescent="0.25">
      <c r="A328">
        <v>327</v>
      </c>
      <c r="B328" s="9" t="str">
        <f>TEXT(Sales__tbl[[#This Row],[date]],"MM")</f>
        <v>01</v>
      </c>
      <c r="C328" s="13">
        <v>45295</v>
      </c>
      <c r="D328" t="str">
        <f>_xlfn.XLOOKUP(Sales__tbl[[#This Row],[customer_id]],customer_tbl[customer_id],customer_tbl[Branch_id],"Not found")</f>
        <v>E01</v>
      </c>
      <c r="E328" t="s">
        <v>1094</v>
      </c>
      <c r="F328" t="s">
        <v>958</v>
      </c>
      <c r="G328" t="s">
        <v>939</v>
      </c>
      <c r="H328">
        <v>2</v>
      </c>
      <c r="I328">
        <v>90.53</v>
      </c>
      <c r="J328">
        <v>0.1</v>
      </c>
      <c r="K328" s="3">
        <v>18.105999999999995</v>
      </c>
      <c r="L328">
        <v>162.95400000000001</v>
      </c>
      <c r="M328">
        <v>6.8739999999999952</v>
      </c>
      <c r="N328" t="str">
        <f>"P. "&amp;(Sales__tbl[[#This Row],[product_id]]&amp;"."&amp;TEXT(Sales__tbl[[#This Row],[selling_price]],"0.00"))</f>
        <v>P. P.id03.90.53</v>
      </c>
    </row>
    <row r="329" spans="1:14" x14ac:dyDescent="0.25">
      <c r="A329">
        <v>328</v>
      </c>
      <c r="B329" s="9" t="str">
        <f>TEXT(Sales__tbl[[#This Row],[date]],"MM")</f>
        <v>01</v>
      </c>
      <c r="C329" s="13">
        <v>45296</v>
      </c>
      <c r="D329" t="str">
        <f>_xlfn.XLOOKUP(Sales__tbl[[#This Row],[customer_id]],customer_tbl[customer_id],customer_tbl[Branch_id],"Not found")</f>
        <v>S01</v>
      </c>
      <c r="E329" t="s">
        <v>1021</v>
      </c>
      <c r="F329" t="s">
        <v>964</v>
      </c>
      <c r="G329" t="s">
        <v>943</v>
      </c>
      <c r="H329">
        <v>1</v>
      </c>
      <c r="I329">
        <v>190.58</v>
      </c>
      <c r="J329">
        <v>0.1</v>
      </c>
      <c r="K329" s="3">
        <v>19.057999999999993</v>
      </c>
      <c r="L329">
        <v>171.52200000000002</v>
      </c>
      <c r="M329">
        <v>23.782000000000011</v>
      </c>
      <c r="N329" t="str">
        <f>"P. "&amp;(Sales__tbl[[#This Row],[product_id]]&amp;"."&amp;TEXT(Sales__tbl[[#This Row],[selling_price]],"0.00"))</f>
        <v>P. P.id09.190.58</v>
      </c>
    </row>
    <row r="330" spans="1:14" x14ac:dyDescent="0.25">
      <c r="A330">
        <v>329</v>
      </c>
      <c r="B330" s="9" t="str">
        <f>TEXT(Sales__tbl[[#This Row],[date]],"MM")</f>
        <v>01</v>
      </c>
      <c r="C330" s="13">
        <v>45297</v>
      </c>
      <c r="D330" t="str">
        <f>_xlfn.XLOOKUP(Sales__tbl[[#This Row],[customer_id]],customer_tbl[customer_id],customer_tbl[Branch_id],"Not found")</f>
        <v>S01</v>
      </c>
      <c r="E330" t="s">
        <v>1023</v>
      </c>
      <c r="F330" t="s">
        <v>966</v>
      </c>
      <c r="G330" t="s">
        <v>851</v>
      </c>
      <c r="H330">
        <v>2</v>
      </c>
      <c r="I330">
        <v>196.75</v>
      </c>
      <c r="J330">
        <v>0.15</v>
      </c>
      <c r="K330" s="3">
        <v>59.025000000000034</v>
      </c>
      <c r="L330">
        <v>334.47499999999997</v>
      </c>
      <c r="M330">
        <v>22.174999999999955</v>
      </c>
      <c r="N330" t="str">
        <f>"P. "&amp;(Sales__tbl[[#This Row],[product_id]]&amp;"."&amp;TEXT(Sales__tbl[[#This Row],[selling_price]],"0.00"))</f>
        <v>P. P.id11.196.75</v>
      </c>
    </row>
    <row r="331" spans="1:14" x14ac:dyDescent="0.25">
      <c r="A331">
        <v>330</v>
      </c>
      <c r="B331" s="9" t="str">
        <f>TEXT(Sales__tbl[[#This Row],[date]],"MM")</f>
        <v>01</v>
      </c>
      <c r="C331" s="13">
        <v>45298</v>
      </c>
      <c r="D331" t="str">
        <f>_xlfn.XLOOKUP(Sales__tbl[[#This Row],[customer_id]],customer_tbl[customer_id],customer_tbl[Branch_id],"Not found")</f>
        <v>C01</v>
      </c>
      <c r="E331" t="s">
        <v>1037</v>
      </c>
      <c r="F331" t="s">
        <v>961</v>
      </c>
      <c r="G331" t="s">
        <v>940</v>
      </c>
      <c r="H331">
        <v>1</v>
      </c>
      <c r="I331">
        <v>66.790000000000006</v>
      </c>
      <c r="J331">
        <v>0</v>
      </c>
      <c r="K331" s="3">
        <v>0</v>
      </c>
      <c r="L331">
        <v>66.790000000000006</v>
      </c>
      <c r="M331">
        <v>22.850000000000009</v>
      </c>
      <c r="N331" t="str">
        <f>"P. "&amp;(Sales__tbl[[#This Row],[product_id]]&amp;"."&amp;TEXT(Sales__tbl[[#This Row],[selling_price]],"0.00"))</f>
        <v>P. P.id06.66.79</v>
      </c>
    </row>
    <row r="332" spans="1:14" x14ac:dyDescent="0.25">
      <c r="A332">
        <v>331</v>
      </c>
      <c r="B332" s="9" t="str">
        <f>TEXT(Sales__tbl[[#This Row],[date]],"MM")</f>
        <v>01</v>
      </c>
      <c r="C332" s="13">
        <v>45299</v>
      </c>
      <c r="D332" t="str">
        <f>_xlfn.XLOOKUP(Sales__tbl[[#This Row],[customer_id]],customer_tbl[customer_id],customer_tbl[Branch_id],"Not found")</f>
        <v>W01</v>
      </c>
      <c r="E332" t="s">
        <v>1049</v>
      </c>
      <c r="F332" t="s">
        <v>962</v>
      </c>
      <c r="G332" t="s">
        <v>941</v>
      </c>
      <c r="H332">
        <v>1</v>
      </c>
      <c r="I332">
        <v>259.11</v>
      </c>
      <c r="J332">
        <v>0.1</v>
      </c>
      <c r="K332" s="3">
        <v>25.911000000000001</v>
      </c>
      <c r="L332">
        <v>233.19900000000001</v>
      </c>
      <c r="M332">
        <v>59.299000000000007</v>
      </c>
      <c r="N332" t="str">
        <f>"P. "&amp;(Sales__tbl[[#This Row],[product_id]]&amp;"."&amp;TEXT(Sales__tbl[[#This Row],[selling_price]],"0.00"))</f>
        <v>P. P.id07.259.11</v>
      </c>
    </row>
    <row r="333" spans="1:14" x14ac:dyDescent="0.25">
      <c r="A333">
        <v>332</v>
      </c>
      <c r="B333" s="9" t="str">
        <f>TEXT(Sales__tbl[[#This Row],[date]],"MM")</f>
        <v>01</v>
      </c>
      <c r="C333" s="13">
        <v>45300</v>
      </c>
      <c r="D333" t="str">
        <f>_xlfn.XLOOKUP(Sales__tbl[[#This Row],[customer_id]],customer_tbl[customer_id],customer_tbl[Branch_id],"Not found")</f>
        <v>C01</v>
      </c>
      <c r="E333" t="s">
        <v>1055</v>
      </c>
      <c r="F333" t="s">
        <v>962</v>
      </c>
      <c r="G333" t="s">
        <v>941</v>
      </c>
      <c r="H333">
        <v>1</v>
      </c>
      <c r="I333">
        <v>259.11</v>
      </c>
      <c r="J333">
        <v>0.1</v>
      </c>
      <c r="K333" s="3">
        <v>25.911000000000001</v>
      </c>
      <c r="L333">
        <v>233.19900000000001</v>
      </c>
      <c r="M333">
        <v>59.299000000000007</v>
      </c>
      <c r="N333" t="str">
        <f>"P. "&amp;(Sales__tbl[[#This Row],[product_id]]&amp;"."&amp;TEXT(Sales__tbl[[#This Row],[selling_price]],"0.00"))</f>
        <v>P. P.id07.259.11</v>
      </c>
    </row>
    <row r="334" spans="1:14" x14ac:dyDescent="0.25">
      <c r="A334">
        <v>333</v>
      </c>
      <c r="B334" s="9" t="str">
        <f>TEXT(Sales__tbl[[#This Row],[date]],"MM")</f>
        <v>01</v>
      </c>
      <c r="C334" s="13">
        <v>45301</v>
      </c>
      <c r="D334" t="str">
        <f>_xlfn.XLOOKUP(Sales__tbl[[#This Row],[customer_id]],customer_tbl[customer_id],customer_tbl[Branch_id],"Not found")</f>
        <v>N02</v>
      </c>
      <c r="E334" t="s">
        <v>1067</v>
      </c>
      <c r="F334" t="s">
        <v>965</v>
      </c>
      <c r="G334" t="s">
        <v>847</v>
      </c>
      <c r="H334">
        <v>1</v>
      </c>
      <c r="I334">
        <v>168</v>
      </c>
      <c r="J334">
        <v>0.1</v>
      </c>
      <c r="K334" s="3">
        <v>16.799999999999983</v>
      </c>
      <c r="L334">
        <v>151.20000000000002</v>
      </c>
      <c r="M334">
        <v>29.460000000000022</v>
      </c>
      <c r="N334" t="str">
        <f>"P. "&amp;(Sales__tbl[[#This Row],[product_id]]&amp;"."&amp;TEXT(Sales__tbl[[#This Row],[selling_price]],"0.00"))</f>
        <v>P. P.id10.168.00</v>
      </c>
    </row>
    <row r="335" spans="1:14" x14ac:dyDescent="0.25">
      <c r="A335">
        <v>334</v>
      </c>
      <c r="B335" s="9" t="str">
        <f>TEXT(Sales__tbl[[#This Row],[date]],"MM")</f>
        <v>01</v>
      </c>
      <c r="C335" s="13">
        <v>45302</v>
      </c>
      <c r="D335" t="str">
        <f>_xlfn.XLOOKUP(Sales__tbl[[#This Row],[customer_id]],customer_tbl[customer_id],customer_tbl[Branch_id],"Not found")</f>
        <v>C02</v>
      </c>
      <c r="E335" t="s">
        <v>1174</v>
      </c>
      <c r="F335" t="s">
        <v>966</v>
      </c>
      <c r="G335" t="s">
        <v>851</v>
      </c>
      <c r="H335">
        <v>1</v>
      </c>
      <c r="I335">
        <v>196.75</v>
      </c>
      <c r="J335">
        <v>0.1</v>
      </c>
      <c r="K335" s="3">
        <v>19.674999999999983</v>
      </c>
      <c r="L335">
        <v>177.07500000000002</v>
      </c>
      <c r="M335">
        <v>20.925000000000011</v>
      </c>
      <c r="N335" t="str">
        <f>"P. "&amp;(Sales__tbl[[#This Row],[product_id]]&amp;"."&amp;TEXT(Sales__tbl[[#This Row],[selling_price]],"0.00"))</f>
        <v>P. P.id11.196.75</v>
      </c>
    </row>
    <row r="336" spans="1:14" x14ac:dyDescent="0.25">
      <c r="A336">
        <v>335</v>
      </c>
      <c r="B336" s="9" t="str">
        <f>TEXT(Sales__tbl[[#This Row],[date]],"MM")</f>
        <v>01</v>
      </c>
      <c r="C336" s="13">
        <v>45303</v>
      </c>
      <c r="D336" t="str">
        <f>_xlfn.XLOOKUP(Sales__tbl[[#This Row],[customer_id]],customer_tbl[customer_id],customer_tbl[Branch_id],"Not found")</f>
        <v>E02</v>
      </c>
      <c r="E336" t="s">
        <v>1144</v>
      </c>
      <c r="F336" t="s">
        <v>967</v>
      </c>
      <c r="G336" t="s">
        <v>872</v>
      </c>
      <c r="H336">
        <v>5</v>
      </c>
      <c r="I336">
        <v>91.73</v>
      </c>
      <c r="J336">
        <v>0.2</v>
      </c>
      <c r="K336" s="3">
        <v>91.729999999999961</v>
      </c>
      <c r="L336">
        <v>366.92000000000007</v>
      </c>
      <c r="M336">
        <v>-15.279999999999916</v>
      </c>
      <c r="N336" t="str">
        <f>"P. "&amp;(Sales__tbl[[#This Row],[product_id]]&amp;"."&amp;TEXT(Sales__tbl[[#This Row],[selling_price]],"0.00"))</f>
        <v>P. P.id12.91.73</v>
      </c>
    </row>
    <row r="337" spans="1:14" x14ac:dyDescent="0.25">
      <c r="A337">
        <v>336</v>
      </c>
      <c r="B337" s="9" t="str">
        <f>TEXT(Sales__tbl[[#This Row],[date]],"MM")</f>
        <v>01</v>
      </c>
      <c r="C337" s="13">
        <v>45304</v>
      </c>
      <c r="D337" t="str">
        <f>_xlfn.XLOOKUP(Sales__tbl[[#This Row],[customer_id]],customer_tbl[customer_id],customer_tbl[Branch_id],"Not found")</f>
        <v>C01</v>
      </c>
      <c r="E337" t="s">
        <v>1097</v>
      </c>
      <c r="F337" t="s">
        <v>959</v>
      </c>
      <c r="G337" t="s">
        <v>837</v>
      </c>
      <c r="H337">
        <v>1</v>
      </c>
      <c r="I337">
        <v>11.53</v>
      </c>
      <c r="J337">
        <v>0</v>
      </c>
      <c r="K337" s="3">
        <v>0</v>
      </c>
      <c r="L337">
        <v>11.53</v>
      </c>
      <c r="M337">
        <v>2.5199999999999996</v>
      </c>
      <c r="N337" t="str">
        <f>"P. "&amp;(Sales__tbl[[#This Row],[product_id]]&amp;"."&amp;TEXT(Sales__tbl[[#This Row],[selling_price]],"0.00"))</f>
        <v>P. P.id04.11.53</v>
      </c>
    </row>
    <row r="338" spans="1:14" x14ac:dyDescent="0.25">
      <c r="A338">
        <v>337</v>
      </c>
      <c r="B338" s="9" t="str">
        <f>TEXT(Sales__tbl[[#This Row],[date]],"MM")</f>
        <v>01</v>
      </c>
      <c r="C338" s="13">
        <v>45305</v>
      </c>
      <c r="D338" t="str">
        <f>_xlfn.XLOOKUP(Sales__tbl[[#This Row],[customer_id]],customer_tbl[customer_id],customer_tbl[Branch_id],"Not found")</f>
        <v>C02</v>
      </c>
      <c r="E338" t="s">
        <v>1175</v>
      </c>
      <c r="F338" t="s">
        <v>967</v>
      </c>
      <c r="G338" t="s">
        <v>872</v>
      </c>
      <c r="H338">
        <v>1</v>
      </c>
      <c r="I338">
        <v>91.73</v>
      </c>
      <c r="J338">
        <v>0</v>
      </c>
      <c r="K338" s="3">
        <v>0</v>
      </c>
      <c r="L338">
        <v>91.73</v>
      </c>
      <c r="M338">
        <v>15.290000000000006</v>
      </c>
      <c r="N338" t="str">
        <f>"P. "&amp;(Sales__tbl[[#This Row],[product_id]]&amp;"."&amp;TEXT(Sales__tbl[[#This Row],[selling_price]],"0.00"))</f>
        <v>P. P.id12.91.73</v>
      </c>
    </row>
    <row r="339" spans="1:14" x14ac:dyDescent="0.25">
      <c r="A339">
        <v>338</v>
      </c>
      <c r="B339" s="9" t="str">
        <f>TEXT(Sales__tbl[[#This Row],[date]],"MM")</f>
        <v>01</v>
      </c>
      <c r="C339" s="13">
        <v>45306</v>
      </c>
      <c r="D339" t="str">
        <f>_xlfn.XLOOKUP(Sales__tbl[[#This Row],[customer_id]],customer_tbl[customer_id],customer_tbl[Branch_id],"Not found")</f>
        <v>C02</v>
      </c>
      <c r="E339" t="s">
        <v>1083</v>
      </c>
      <c r="F339" t="s">
        <v>964</v>
      </c>
      <c r="G339" t="s">
        <v>943</v>
      </c>
      <c r="H339">
        <v>2</v>
      </c>
      <c r="I339">
        <v>190.58</v>
      </c>
      <c r="J339">
        <v>0.15</v>
      </c>
      <c r="K339" s="3">
        <v>57.174000000000035</v>
      </c>
      <c r="L339">
        <v>323.98599999999999</v>
      </c>
      <c r="M339">
        <v>28.505999999999972</v>
      </c>
      <c r="N339" t="str">
        <f>"P. "&amp;(Sales__tbl[[#This Row],[product_id]]&amp;"."&amp;TEXT(Sales__tbl[[#This Row],[selling_price]],"0.00"))</f>
        <v>P. P.id09.190.58</v>
      </c>
    </row>
    <row r="340" spans="1:14" x14ac:dyDescent="0.25">
      <c r="A340">
        <v>339</v>
      </c>
      <c r="B340" s="9" t="str">
        <f>TEXT(Sales__tbl[[#This Row],[date]],"MM")</f>
        <v>01</v>
      </c>
      <c r="C340" s="13">
        <v>45307</v>
      </c>
      <c r="D340" t="str">
        <f>_xlfn.XLOOKUP(Sales__tbl[[#This Row],[customer_id]],customer_tbl[customer_id],customer_tbl[Branch_id],"Not found")</f>
        <v>N02</v>
      </c>
      <c r="E340" t="s">
        <v>1176</v>
      </c>
      <c r="F340" t="s">
        <v>958</v>
      </c>
      <c r="G340" t="s">
        <v>939</v>
      </c>
      <c r="H340">
        <v>1</v>
      </c>
      <c r="I340">
        <v>90.53</v>
      </c>
      <c r="J340">
        <v>0</v>
      </c>
      <c r="K340" s="3">
        <v>0</v>
      </c>
      <c r="L340">
        <v>90.53</v>
      </c>
      <c r="M340">
        <v>12.489999999999995</v>
      </c>
      <c r="N340" t="str">
        <f>"P. "&amp;(Sales__tbl[[#This Row],[product_id]]&amp;"."&amp;TEXT(Sales__tbl[[#This Row],[selling_price]],"0.00"))</f>
        <v>P. P.id03.90.53</v>
      </c>
    </row>
    <row r="341" spans="1:14" x14ac:dyDescent="0.25">
      <c r="A341">
        <v>340</v>
      </c>
      <c r="B341" s="9" t="str">
        <f>TEXT(Sales__tbl[[#This Row],[date]],"MM")</f>
        <v>01</v>
      </c>
      <c r="C341" s="13">
        <v>45308</v>
      </c>
      <c r="D341" t="str">
        <f>_xlfn.XLOOKUP(Sales__tbl[[#This Row],[customer_id]],customer_tbl[customer_id],customer_tbl[Branch_id],"Not found")</f>
        <v>N01</v>
      </c>
      <c r="E341" t="s">
        <v>1125</v>
      </c>
      <c r="F341" t="s">
        <v>957</v>
      </c>
      <c r="G341" t="s">
        <v>833</v>
      </c>
      <c r="H341">
        <v>1</v>
      </c>
      <c r="I341">
        <v>55.26</v>
      </c>
      <c r="J341">
        <v>0</v>
      </c>
      <c r="K341" s="3">
        <v>0</v>
      </c>
      <c r="L341">
        <v>55.26</v>
      </c>
      <c r="M341">
        <v>19.839999999999996</v>
      </c>
      <c r="N341" t="str">
        <f>"P. "&amp;(Sales__tbl[[#This Row],[product_id]]&amp;"."&amp;TEXT(Sales__tbl[[#This Row],[selling_price]],"0.00"))</f>
        <v>P. P.id02.55.26</v>
      </c>
    </row>
    <row r="342" spans="1:14" x14ac:dyDescent="0.25">
      <c r="A342">
        <v>341</v>
      </c>
      <c r="B342" s="9" t="str">
        <f>TEXT(Sales__tbl[[#This Row],[date]],"MM")</f>
        <v>01</v>
      </c>
      <c r="C342" s="13">
        <v>45309</v>
      </c>
      <c r="D342" t="str">
        <f>_xlfn.XLOOKUP(Sales__tbl[[#This Row],[customer_id]],customer_tbl[customer_id],customer_tbl[Branch_id],"Not found")</f>
        <v>N01</v>
      </c>
      <c r="E342" t="s">
        <v>1125</v>
      </c>
      <c r="F342" t="s">
        <v>956</v>
      </c>
      <c r="G342" t="s">
        <v>831</v>
      </c>
      <c r="H342">
        <v>1</v>
      </c>
      <c r="I342">
        <v>303.48</v>
      </c>
      <c r="J342">
        <v>0.15</v>
      </c>
      <c r="K342" s="3">
        <v>45.521999999999991</v>
      </c>
      <c r="L342">
        <v>257.95800000000003</v>
      </c>
      <c r="M342">
        <v>64.658000000000015</v>
      </c>
      <c r="N342" t="str">
        <f>"P. "&amp;(Sales__tbl[[#This Row],[product_id]]&amp;"."&amp;TEXT(Sales__tbl[[#This Row],[selling_price]],"0.00"))</f>
        <v>P. P.id01.303.48</v>
      </c>
    </row>
    <row r="343" spans="1:14" x14ac:dyDescent="0.25">
      <c r="A343">
        <v>342</v>
      </c>
      <c r="B343" s="9" t="str">
        <f>TEXT(Sales__tbl[[#This Row],[date]],"MM")</f>
        <v>01</v>
      </c>
      <c r="C343" s="13">
        <v>45310</v>
      </c>
      <c r="D343" t="str">
        <f>_xlfn.XLOOKUP(Sales__tbl[[#This Row],[customer_id]],customer_tbl[customer_id],customer_tbl[Branch_id],"Not found")</f>
        <v>N01</v>
      </c>
      <c r="E343" t="s">
        <v>1052</v>
      </c>
      <c r="F343" t="s">
        <v>960</v>
      </c>
      <c r="G343" t="s">
        <v>839</v>
      </c>
      <c r="H343">
        <v>1</v>
      </c>
      <c r="I343">
        <v>165.45</v>
      </c>
      <c r="J343">
        <v>0.1</v>
      </c>
      <c r="K343" s="3">
        <v>16.544999999999987</v>
      </c>
      <c r="L343">
        <v>148.905</v>
      </c>
      <c r="M343">
        <v>25.435000000000002</v>
      </c>
      <c r="N343" t="str">
        <f>"P. "&amp;(Sales__tbl[[#This Row],[product_id]]&amp;"."&amp;TEXT(Sales__tbl[[#This Row],[selling_price]],"0.00"))</f>
        <v>P. P.id05.165.45</v>
      </c>
    </row>
    <row r="344" spans="1:14" x14ac:dyDescent="0.25">
      <c r="A344">
        <v>343</v>
      </c>
      <c r="B344" s="9" t="str">
        <f>TEXT(Sales__tbl[[#This Row],[date]],"MM")</f>
        <v>01</v>
      </c>
      <c r="C344" s="13">
        <v>45311</v>
      </c>
      <c r="D344" t="str">
        <f>_xlfn.XLOOKUP(Sales__tbl[[#This Row],[customer_id]],customer_tbl[customer_id],customer_tbl[Branch_id],"Not found")</f>
        <v>N02</v>
      </c>
      <c r="E344" t="s">
        <v>1177</v>
      </c>
      <c r="F344" t="s">
        <v>958</v>
      </c>
      <c r="G344" t="s">
        <v>939</v>
      </c>
      <c r="H344">
        <v>1</v>
      </c>
      <c r="I344">
        <v>90.53</v>
      </c>
      <c r="J344">
        <v>0</v>
      </c>
      <c r="K344" s="3">
        <v>0</v>
      </c>
      <c r="L344">
        <v>90.53</v>
      </c>
      <c r="M344">
        <v>12.489999999999995</v>
      </c>
      <c r="N344" t="str">
        <f>"P. "&amp;(Sales__tbl[[#This Row],[product_id]]&amp;"."&amp;TEXT(Sales__tbl[[#This Row],[selling_price]],"0.00"))</f>
        <v>P. P.id03.90.53</v>
      </c>
    </row>
    <row r="345" spans="1:14" x14ac:dyDescent="0.25">
      <c r="A345">
        <v>344</v>
      </c>
      <c r="B345" s="9" t="str">
        <f>TEXT(Sales__tbl[[#This Row],[date]],"MM")</f>
        <v>01</v>
      </c>
      <c r="C345" s="13">
        <v>45312</v>
      </c>
      <c r="D345" t="str">
        <f>_xlfn.XLOOKUP(Sales__tbl[[#This Row],[customer_id]],customer_tbl[customer_id],customer_tbl[Branch_id],"Not found")</f>
        <v>E02</v>
      </c>
      <c r="E345" t="s">
        <v>1178</v>
      </c>
      <c r="F345" t="s">
        <v>960</v>
      </c>
      <c r="G345" t="s">
        <v>839</v>
      </c>
      <c r="H345">
        <v>1</v>
      </c>
      <c r="I345">
        <v>165.45</v>
      </c>
      <c r="J345">
        <v>0.1</v>
      </c>
      <c r="K345" s="3">
        <v>16.544999999999987</v>
      </c>
      <c r="L345">
        <v>148.905</v>
      </c>
      <c r="M345">
        <v>25.435000000000002</v>
      </c>
      <c r="N345" t="str">
        <f>"P. "&amp;(Sales__tbl[[#This Row],[product_id]]&amp;"."&amp;TEXT(Sales__tbl[[#This Row],[selling_price]],"0.00"))</f>
        <v>P. P.id05.165.45</v>
      </c>
    </row>
    <row r="346" spans="1:14" x14ac:dyDescent="0.25">
      <c r="A346">
        <v>345</v>
      </c>
      <c r="B346" s="9" t="str">
        <f>TEXT(Sales__tbl[[#This Row],[date]],"MM")</f>
        <v>01</v>
      </c>
      <c r="C346" s="13">
        <v>45313</v>
      </c>
      <c r="D346" t="str">
        <f>_xlfn.XLOOKUP(Sales__tbl[[#This Row],[customer_id]],customer_tbl[customer_id],customer_tbl[Branch_id],"Not found")</f>
        <v>E02</v>
      </c>
      <c r="E346" t="s">
        <v>1149</v>
      </c>
      <c r="F346" t="s">
        <v>959</v>
      </c>
      <c r="G346" t="s">
        <v>837</v>
      </c>
      <c r="H346">
        <v>1</v>
      </c>
      <c r="I346">
        <v>11.53</v>
      </c>
      <c r="J346">
        <v>0</v>
      </c>
      <c r="K346" s="3">
        <v>0</v>
      </c>
      <c r="L346">
        <v>11.53</v>
      </c>
      <c r="M346">
        <v>2.5199999999999996</v>
      </c>
      <c r="N346" t="str">
        <f>"P. "&amp;(Sales__tbl[[#This Row],[product_id]]&amp;"."&amp;TEXT(Sales__tbl[[#This Row],[selling_price]],"0.00"))</f>
        <v>P. P.id04.11.53</v>
      </c>
    </row>
    <row r="347" spans="1:14" x14ac:dyDescent="0.25">
      <c r="A347">
        <v>346</v>
      </c>
      <c r="B347" s="9" t="str">
        <f>TEXT(Sales__tbl[[#This Row],[date]],"MM")</f>
        <v>01</v>
      </c>
      <c r="C347" s="13">
        <v>45314</v>
      </c>
      <c r="D347" t="str">
        <f>_xlfn.XLOOKUP(Sales__tbl[[#This Row],[customer_id]],customer_tbl[customer_id],customer_tbl[Branch_id],"Not found")</f>
        <v>E01</v>
      </c>
      <c r="E347" t="s">
        <v>1165</v>
      </c>
      <c r="F347" t="s">
        <v>965</v>
      </c>
      <c r="G347" t="s">
        <v>847</v>
      </c>
      <c r="H347">
        <v>2</v>
      </c>
      <c r="I347">
        <v>168</v>
      </c>
      <c r="J347">
        <v>0.15</v>
      </c>
      <c r="K347" s="3">
        <v>50.400000000000034</v>
      </c>
      <c r="L347">
        <v>285.59999999999997</v>
      </c>
      <c r="M347">
        <v>42.119999999999976</v>
      </c>
      <c r="N347" t="str">
        <f>"P. "&amp;(Sales__tbl[[#This Row],[product_id]]&amp;"."&amp;TEXT(Sales__tbl[[#This Row],[selling_price]],"0.00"))</f>
        <v>P. P.id10.168.00</v>
      </c>
    </row>
    <row r="348" spans="1:14" x14ac:dyDescent="0.25">
      <c r="A348">
        <v>347</v>
      </c>
      <c r="B348" s="9" t="str">
        <f>TEXT(Sales__tbl[[#This Row],[date]],"MM")</f>
        <v>01</v>
      </c>
      <c r="C348" s="13">
        <v>45315</v>
      </c>
      <c r="D348" t="str">
        <f>_xlfn.XLOOKUP(Sales__tbl[[#This Row],[customer_id]],customer_tbl[customer_id],customer_tbl[Branch_id],"Not found")</f>
        <v>E01</v>
      </c>
      <c r="E348" t="s">
        <v>1040</v>
      </c>
      <c r="F348" t="s">
        <v>963</v>
      </c>
      <c r="G348" t="s">
        <v>942</v>
      </c>
      <c r="H348">
        <v>1</v>
      </c>
      <c r="I348">
        <v>274.16000000000003</v>
      </c>
      <c r="J348">
        <v>0.1</v>
      </c>
      <c r="K348" s="3">
        <v>27.415999999999997</v>
      </c>
      <c r="L348">
        <v>246.74400000000003</v>
      </c>
      <c r="M348">
        <v>56.354000000000042</v>
      </c>
      <c r="N348" t="str">
        <f>"P. "&amp;(Sales__tbl[[#This Row],[product_id]]&amp;"."&amp;TEXT(Sales__tbl[[#This Row],[selling_price]],"0.00"))</f>
        <v>P. P.id08.274.16</v>
      </c>
    </row>
    <row r="349" spans="1:14" x14ac:dyDescent="0.25">
      <c r="A349">
        <v>348</v>
      </c>
      <c r="B349" s="9" t="str">
        <f>TEXT(Sales__tbl[[#This Row],[date]],"MM")</f>
        <v>01</v>
      </c>
      <c r="C349" s="13">
        <v>45316</v>
      </c>
      <c r="D349" t="str">
        <f>_xlfn.XLOOKUP(Sales__tbl[[#This Row],[customer_id]],customer_tbl[customer_id],customer_tbl[Branch_id],"Not found")</f>
        <v>N01</v>
      </c>
      <c r="E349" t="s">
        <v>1146</v>
      </c>
      <c r="F349" t="s">
        <v>965</v>
      </c>
      <c r="G349" t="s">
        <v>847</v>
      </c>
      <c r="H349">
        <v>1</v>
      </c>
      <c r="I349">
        <v>168</v>
      </c>
      <c r="J349">
        <v>0.1</v>
      </c>
      <c r="K349" s="3">
        <v>16.799999999999983</v>
      </c>
      <c r="L349">
        <v>151.20000000000002</v>
      </c>
      <c r="M349">
        <v>29.460000000000022</v>
      </c>
      <c r="N349" t="str">
        <f>"P. "&amp;(Sales__tbl[[#This Row],[product_id]]&amp;"."&amp;TEXT(Sales__tbl[[#This Row],[selling_price]],"0.00"))</f>
        <v>P. P.id10.168.00</v>
      </c>
    </row>
    <row r="350" spans="1:14" x14ac:dyDescent="0.25">
      <c r="A350">
        <v>349</v>
      </c>
      <c r="B350" s="9" t="str">
        <f>TEXT(Sales__tbl[[#This Row],[date]],"MM")</f>
        <v>01</v>
      </c>
      <c r="C350" s="13">
        <v>45317</v>
      </c>
      <c r="D350" t="str">
        <f>_xlfn.XLOOKUP(Sales__tbl[[#This Row],[customer_id]],customer_tbl[customer_id],customer_tbl[Branch_id],"Not found")</f>
        <v>C02</v>
      </c>
      <c r="E350" t="s">
        <v>1058</v>
      </c>
      <c r="F350" t="s">
        <v>957</v>
      </c>
      <c r="G350" t="s">
        <v>833</v>
      </c>
      <c r="H350">
        <v>1</v>
      </c>
      <c r="I350">
        <v>55.26</v>
      </c>
      <c r="J350">
        <v>0</v>
      </c>
      <c r="K350" s="3">
        <v>0</v>
      </c>
      <c r="L350">
        <v>55.26</v>
      </c>
      <c r="M350">
        <v>19.839999999999996</v>
      </c>
      <c r="N350" t="str">
        <f>"P. "&amp;(Sales__tbl[[#This Row],[product_id]]&amp;"."&amp;TEXT(Sales__tbl[[#This Row],[selling_price]],"0.00"))</f>
        <v>P. P.id02.55.26</v>
      </c>
    </row>
    <row r="351" spans="1:14" x14ac:dyDescent="0.25">
      <c r="A351">
        <v>350</v>
      </c>
      <c r="B351" s="9" t="str">
        <f>TEXT(Sales__tbl[[#This Row],[date]],"MM")</f>
        <v>01</v>
      </c>
      <c r="C351" s="13">
        <v>45318</v>
      </c>
      <c r="D351" t="str">
        <f>_xlfn.XLOOKUP(Sales__tbl[[#This Row],[customer_id]],customer_tbl[customer_id],customer_tbl[Branch_id],"Not found")</f>
        <v>S02</v>
      </c>
      <c r="E351" t="s">
        <v>1093</v>
      </c>
      <c r="F351" t="s">
        <v>958</v>
      </c>
      <c r="G351" t="s">
        <v>939</v>
      </c>
      <c r="H351">
        <v>1</v>
      </c>
      <c r="I351">
        <v>90.53</v>
      </c>
      <c r="J351">
        <v>0</v>
      </c>
      <c r="K351" s="3">
        <v>0</v>
      </c>
      <c r="L351">
        <v>90.53</v>
      </c>
      <c r="M351">
        <v>12.489999999999995</v>
      </c>
      <c r="N351" t="str">
        <f>"P. "&amp;(Sales__tbl[[#This Row],[product_id]]&amp;"."&amp;TEXT(Sales__tbl[[#This Row],[selling_price]],"0.00"))</f>
        <v>P. P.id03.90.53</v>
      </c>
    </row>
    <row r="352" spans="1:14" x14ac:dyDescent="0.25">
      <c r="A352">
        <v>351</v>
      </c>
      <c r="B352" s="9" t="str">
        <f>TEXT(Sales__tbl[[#This Row],[date]],"MM")</f>
        <v>01</v>
      </c>
      <c r="C352" s="13">
        <v>45319</v>
      </c>
      <c r="D352" t="str">
        <f>_xlfn.XLOOKUP(Sales__tbl[[#This Row],[customer_id]],customer_tbl[customer_id],customer_tbl[Branch_id],"Not found")</f>
        <v>S01</v>
      </c>
      <c r="E352" t="s">
        <v>989</v>
      </c>
      <c r="F352" t="s">
        <v>959</v>
      </c>
      <c r="G352" t="s">
        <v>837</v>
      </c>
      <c r="H352">
        <v>1</v>
      </c>
      <c r="I352">
        <v>11.53</v>
      </c>
      <c r="J352">
        <v>0</v>
      </c>
      <c r="K352" s="3">
        <v>0</v>
      </c>
      <c r="L352">
        <v>11.53</v>
      </c>
      <c r="M352">
        <v>2.5199999999999996</v>
      </c>
      <c r="N352" t="str">
        <f>"P. "&amp;(Sales__tbl[[#This Row],[product_id]]&amp;"."&amp;TEXT(Sales__tbl[[#This Row],[selling_price]],"0.00"))</f>
        <v>P. P.id04.11.53</v>
      </c>
    </row>
    <row r="353" spans="1:14" x14ac:dyDescent="0.25">
      <c r="A353">
        <v>352</v>
      </c>
      <c r="B353" s="9" t="str">
        <f>TEXT(Sales__tbl[[#This Row],[date]],"MM")</f>
        <v>01</v>
      </c>
      <c r="C353" s="13">
        <v>45320</v>
      </c>
      <c r="D353" t="str">
        <f>_xlfn.XLOOKUP(Sales__tbl[[#This Row],[customer_id]],customer_tbl[customer_id],customer_tbl[Branch_id],"Not found")</f>
        <v>E02</v>
      </c>
      <c r="E353" t="s">
        <v>1068</v>
      </c>
      <c r="F353" t="s">
        <v>962</v>
      </c>
      <c r="G353" t="s">
        <v>941</v>
      </c>
      <c r="H353">
        <v>1</v>
      </c>
      <c r="I353">
        <v>259.11</v>
      </c>
      <c r="J353">
        <v>0.1</v>
      </c>
      <c r="K353" s="3">
        <v>25.911000000000001</v>
      </c>
      <c r="L353">
        <v>233.19900000000001</v>
      </c>
      <c r="M353">
        <v>59.299000000000007</v>
      </c>
      <c r="N353" t="str">
        <f>"P. "&amp;(Sales__tbl[[#This Row],[product_id]]&amp;"."&amp;TEXT(Sales__tbl[[#This Row],[selling_price]],"0.00"))</f>
        <v>P. P.id07.259.11</v>
      </c>
    </row>
    <row r="354" spans="1:14" x14ac:dyDescent="0.25">
      <c r="A354">
        <v>353</v>
      </c>
      <c r="B354" s="9" t="str">
        <f>TEXT(Sales__tbl[[#This Row],[date]],"MM")</f>
        <v>01</v>
      </c>
      <c r="C354" s="13">
        <v>45321</v>
      </c>
      <c r="D354" t="str">
        <f>_xlfn.XLOOKUP(Sales__tbl[[#This Row],[customer_id]],customer_tbl[customer_id],customer_tbl[Branch_id],"Not found")</f>
        <v>W01</v>
      </c>
      <c r="E354" t="s">
        <v>1179</v>
      </c>
      <c r="F354" t="s">
        <v>962</v>
      </c>
      <c r="G354" t="s">
        <v>941</v>
      </c>
      <c r="H354">
        <v>1</v>
      </c>
      <c r="I354">
        <v>259.11</v>
      </c>
      <c r="J354">
        <v>0.1</v>
      </c>
      <c r="K354" s="3">
        <v>25.911000000000001</v>
      </c>
      <c r="L354">
        <v>233.19900000000001</v>
      </c>
      <c r="M354">
        <v>59.299000000000007</v>
      </c>
      <c r="N354" t="str">
        <f>"P. "&amp;(Sales__tbl[[#This Row],[product_id]]&amp;"."&amp;TEXT(Sales__tbl[[#This Row],[selling_price]],"0.00"))</f>
        <v>P. P.id07.259.11</v>
      </c>
    </row>
    <row r="355" spans="1:14" x14ac:dyDescent="0.25">
      <c r="A355">
        <v>354</v>
      </c>
      <c r="B355" s="9" t="str">
        <f>TEXT(Sales__tbl[[#This Row],[date]],"MM")</f>
        <v>01</v>
      </c>
      <c r="C355" s="13">
        <v>45322</v>
      </c>
      <c r="D355" t="str">
        <f>_xlfn.XLOOKUP(Sales__tbl[[#This Row],[customer_id]],customer_tbl[customer_id],customer_tbl[Branch_id],"Not found")</f>
        <v>E01</v>
      </c>
      <c r="E355" t="s">
        <v>1116</v>
      </c>
      <c r="F355" t="s">
        <v>959</v>
      </c>
      <c r="G355" t="s">
        <v>837</v>
      </c>
      <c r="H355">
        <v>1</v>
      </c>
      <c r="I355">
        <v>11.53</v>
      </c>
      <c r="J355">
        <v>0</v>
      </c>
      <c r="K355" s="3">
        <v>0</v>
      </c>
      <c r="L355">
        <v>11.53</v>
      </c>
      <c r="M355">
        <v>2.5199999999999996</v>
      </c>
      <c r="N355" t="str">
        <f>"P. "&amp;(Sales__tbl[[#This Row],[product_id]]&amp;"."&amp;TEXT(Sales__tbl[[#This Row],[selling_price]],"0.00"))</f>
        <v>P. P.id04.11.53</v>
      </c>
    </row>
    <row r="356" spans="1:14" x14ac:dyDescent="0.25">
      <c r="A356">
        <v>355</v>
      </c>
      <c r="B356" s="9" t="str">
        <f>TEXT(Sales__tbl[[#This Row],[date]],"MM")</f>
        <v>02</v>
      </c>
      <c r="C356" s="13">
        <v>45323</v>
      </c>
      <c r="D356" t="str">
        <f>_xlfn.XLOOKUP(Sales__tbl[[#This Row],[customer_id]],customer_tbl[customer_id],customer_tbl[Branch_id],"Not found")</f>
        <v>S02</v>
      </c>
      <c r="E356" t="s">
        <v>1088</v>
      </c>
      <c r="F356" t="s">
        <v>956</v>
      </c>
      <c r="G356" t="s">
        <v>831</v>
      </c>
      <c r="H356">
        <v>1</v>
      </c>
      <c r="I356">
        <v>303.48</v>
      </c>
      <c r="J356">
        <v>0.15</v>
      </c>
      <c r="K356" s="3">
        <v>45.521999999999991</v>
      </c>
      <c r="L356">
        <v>257.95800000000003</v>
      </c>
      <c r="M356">
        <v>64.658000000000015</v>
      </c>
      <c r="N356" t="str">
        <f>"P. "&amp;(Sales__tbl[[#This Row],[product_id]]&amp;"."&amp;TEXT(Sales__tbl[[#This Row],[selling_price]],"0.00"))</f>
        <v>P. P.id01.303.48</v>
      </c>
    </row>
    <row r="357" spans="1:14" x14ac:dyDescent="0.25">
      <c r="A357">
        <v>356</v>
      </c>
      <c r="B357" s="9" t="str">
        <f>TEXT(Sales__tbl[[#This Row],[date]],"MM")</f>
        <v>02</v>
      </c>
      <c r="C357" s="13">
        <v>45324</v>
      </c>
      <c r="D357" t="str">
        <f>_xlfn.XLOOKUP(Sales__tbl[[#This Row],[customer_id]],customer_tbl[customer_id],customer_tbl[Branch_id],"Not found")</f>
        <v>W02</v>
      </c>
      <c r="E357" t="s">
        <v>1099</v>
      </c>
      <c r="F357" t="s">
        <v>961</v>
      </c>
      <c r="G357" t="s">
        <v>940</v>
      </c>
      <c r="H357">
        <v>1</v>
      </c>
      <c r="I357">
        <v>66.790000000000006</v>
      </c>
      <c r="J357">
        <v>0</v>
      </c>
      <c r="K357" s="3">
        <v>0</v>
      </c>
      <c r="L357">
        <v>66.790000000000006</v>
      </c>
      <c r="M357">
        <v>22.850000000000009</v>
      </c>
      <c r="N357" t="str">
        <f>"P. "&amp;(Sales__tbl[[#This Row],[product_id]]&amp;"."&amp;TEXT(Sales__tbl[[#This Row],[selling_price]],"0.00"))</f>
        <v>P. P.id06.66.79</v>
      </c>
    </row>
    <row r="358" spans="1:14" x14ac:dyDescent="0.25">
      <c r="A358">
        <v>357</v>
      </c>
      <c r="B358" s="9" t="str">
        <f>TEXT(Sales__tbl[[#This Row],[date]],"MM")</f>
        <v>02</v>
      </c>
      <c r="C358" s="13">
        <v>45325</v>
      </c>
      <c r="D358" t="str">
        <f>_xlfn.XLOOKUP(Sales__tbl[[#This Row],[customer_id]],customer_tbl[customer_id],customer_tbl[Branch_id],"Not found")</f>
        <v>S01</v>
      </c>
      <c r="E358" t="s">
        <v>1004</v>
      </c>
      <c r="F358" t="s">
        <v>956</v>
      </c>
      <c r="G358" t="s">
        <v>831</v>
      </c>
      <c r="H358">
        <v>2</v>
      </c>
      <c r="I358">
        <v>303.48</v>
      </c>
      <c r="J358">
        <v>0.2</v>
      </c>
      <c r="K358" s="3">
        <v>121.392</v>
      </c>
      <c r="L358">
        <v>485.56800000000004</v>
      </c>
      <c r="M358">
        <v>98.968000000000018</v>
      </c>
      <c r="N358" t="str">
        <f>"P. "&amp;(Sales__tbl[[#This Row],[product_id]]&amp;"."&amp;TEXT(Sales__tbl[[#This Row],[selling_price]],"0.00"))</f>
        <v>P. P.id01.303.48</v>
      </c>
    </row>
    <row r="359" spans="1:14" x14ac:dyDescent="0.25">
      <c r="A359">
        <v>358</v>
      </c>
      <c r="B359" s="9" t="str">
        <f>TEXT(Sales__tbl[[#This Row],[date]],"MM")</f>
        <v>02</v>
      </c>
      <c r="C359" s="13">
        <v>45326</v>
      </c>
      <c r="D359" t="str">
        <f>_xlfn.XLOOKUP(Sales__tbl[[#This Row],[customer_id]],customer_tbl[customer_id],customer_tbl[Branch_id],"Not found")</f>
        <v>S01</v>
      </c>
      <c r="E359" t="s">
        <v>1107</v>
      </c>
      <c r="F359" t="s">
        <v>966</v>
      </c>
      <c r="G359" t="s">
        <v>851</v>
      </c>
      <c r="H359">
        <v>2</v>
      </c>
      <c r="I359">
        <v>196.75</v>
      </c>
      <c r="J359">
        <v>0.15</v>
      </c>
      <c r="K359" s="3">
        <v>59.025000000000034</v>
      </c>
      <c r="L359">
        <v>334.47499999999997</v>
      </c>
      <c r="M359">
        <v>22.174999999999955</v>
      </c>
      <c r="N359" t="str">
        <f>"P. "&amp;(Sales__tbl[[#This Row],[product_id]]&amp;"."&amp;TEXT(Sales__tbl[[#This Row],[selling_price]],"0.00"))</f>
        <v>P. P.id11.196.75</v>
      </c>
    </row>
    <row r="360" spans="1:14" x14ac:dyDescent="0.25">
      <c r="A360">
        <v>359</v>
      </c>
      <c r="B360" s="9" t="str">
        <f>TEXT(Sales__tbl[[#This Row],[date]],"MM")</f>
        <v>02</v>
      </c>
      <c r="C360" s="13">
        <v>45327</v>
      </c>
      <c r="D360" t="str">
        <f>_xlfn.XLOOKUP(Sales__tbl[[#This Row],[customer_id]],customer_tbl[customer_id],customer_tbl[Branch_id],"Not found")</f>
        <v>E02</v>
      </c>
      <c r="E360" t="s">
        <v>1100</v>
      </c>
      <c r="F360" t="s">
        <v>965</v>
      </c>
      <c r="G360" t="s">
        <v>847</v>
      </c>
      <c r="H360">
        <v>1</v>
      </c>
      <c r="I360">
        <v>168</v>
      </c>
      <c r="J360">
        <v>0.1</v>
      </c>
      <c r="K360" s="3">
        <v>16.799999999999983</v>
      </c>
      <c r="L360">
        <v>151.20000000000002</v>
      </c>
      <c r="M360">
        <v>29.460000000000022</v>
      </c>
      <c r="N360" t="str">
        <f>"P. "&amp;(Sales__tbl[[#This Row],[product_id]]&amp;"."&amp;TEXT(Sales__tbl[[#This Row],[selling_price]],"0.00"))</f>
        <v>P. P.id10.168.00</v>
      </c>
    </row>
    <row r="361" spans="1:14" x14ac:dyDescent="0.25">
      <c r="A361">
        <v>360</v>
      </c>
      <c r="B361" s="9" t="str">
        <f>TEXT(Sales__tbl[[#This Row],[date]],"MM")</f>
        <v>02</v>
      </c>
      <c r="C361" s="13">
        <v>45328</v>
      </c>
      <c r="D361" t="str">
        <f>_xlfn.XLOOKUP(Sales__tbl[[#This Row],[customer_id]],customer_tbl[customer_id],customer_tbl[Branch_id],"Not found")</f>
        <v>N02</v>
      </c>
      <c r="E361" t="s">
        <v>1015</v>
      </c>
      <c r="F361" t="s">
        <v>966</v>
      </c>
      <c r="G361" t="s">
        <v>851</v>
      </c>
      <c r="H361">
        <v>3</v>
      </c>
      <c r="I361">
        <v>196.75</v>
      </c>
      <c r="J361">
        <v>0.2</v>
      </c>
      <c r="K361" s="3">
        <v>118.04999999999995</v>
      </c>
      <c r="L361">
        <v>472.20000000000005</v>
      </c>
      <c r="M361">
        <v>3.75</v>
      </c>
      <c r="N361" t="str">
        <f>"P. "&amp;(Sales__tbl[[#This Row],[product_id]]&amp;"."&amp;TEXT(Sales__tbl[[#This Row],[selling_price]],"0.00"))</f>
        <v>P. P.id11.196.75</v>
      </c>
    </row>
    <row r="362" spans="1:14" x14ac:dyDescent="0.25">
      <c r="A362">
        <v>361</v>
      </c>
      <c r="B362" s="9" t="str">
        <f>TEXT(Sales__tbl[[#This Row],[date]],"MM")</f>
        <v>02</v>
      </c>
      <c r="C362" s="13">
        <v>45329</v>
      </c>
      <c r="D362" t="str">
        <f>_xlfn.XLOOKUP(Sales__tbl[[#This Row],[customer_id]],customer_tbl[customer_id],customer_tbl[Branch_id],"Not found")</f>
        <v>E02</v>
      </c>
      <c r="E362" t="s">
        <v>1105</v>
      </c>
      <c r="F362" t="s">
        <v>967</v>
      </c>
      <c r="G362" t="s">
        <v>872</v>
      </c>
      <c r="H362">
        <v>1</v>
      </c>
      <c r="I362">
        <v>91.73</v>
      </c>
      <c r="J362">
        <v>0</v>
      </c>
      <c r="K362" s="3">
        <v>0</v>
      </c>
      <c r="L362">
        <v>91.73</v>
      </c>
      <c r="M362">
        <v>15.290000000000006</v>
      </c>
      <c r="N362" t="str">
        <f>"P. "&amp;(Sales__tbl[[#This Row],[product_id]]&amp;"."&amp;TEXT(Sales__tbl[[#This Row],[selling_price]],"0.00"))</f>
        <v>P. P.id12.91.73</v>
      </c>
    </row>
    <row r="363" spans="1:14" x14ac:dyDescent="0.25">
      <c r="A363">
        <v>362</v>
      </c>
      <c r="B363" s="9" t="str">
        <f>TEXT(Sales__tbl[[#This Row],[date]],"MM")</f>
        <v>02</v>
      </c>
      <c r="C363" s="13">
        <v>45330</v>
      </c>
      <c r="D363" t="str">
        <f>_xlfn.XLOOKUP(Sales__tbl[[#This Row],[customer_id]],customer_tbl[customer_id],customer_tbl[Branch_id],"Not found")</f>
        <v>E01</v>
      </c>
      <c r="E363" t="s">
        <v>1180</v>
      </c>
      <c r="F363" t="s">
        <v>960</v>
      </c>
      <c r="G363" t="s">
        <v>839</v>
      </c>
      <c r="H363">
        <v>1</v>
      </c>
      <c r="I363">
        <v>165.45</v>
      </c>
      <c r="J363">
        <v>0.1</v>
      </c>
      <c r="K363" s="3">
        <v>16.544999999999987</v>
      </c>
      <c r="L363">
        <v>148.905</v>
      </c>
      <c r="M363">
        <v>25.435000000000002</v>
      </c>
      <c r="N363" t="str">
        <f>"P. "&amp;(Sales__tbl[[#This Row],[product_id]]&amp;"."&amp;TEXT(Sales__tbl[[#This Row],[selling_price]],"0.00"))</f>
        <v>P. P.id05.165.45</v>
      </c>
    </row>
    <row r="364" spans="1:14" x14ac:dyDescent="0.25">
      <c r="A364">
        <v>363</v>
      </c>
      <c r="B364" s="9" t="str">
        <f>TEXT(Sales__tbl[[#This Row],[date]],"MM")</f>
        <v>02</v>
      </c>
      <c r="C364" s="13">
        <v>45331</v>
      </c>
      <c r="D364" t="str">
        <f>_xlfn.XLOOKUP(Sales__tbl[[#This Row],[customer_id]],customer_tbl[customer_id],customer_tbl[Branch_id],"Not found")</f>
        <v>C02</v>
      </c>
      <c r="E364" t="s">
        <v>1138</v>
      </c>
      <c r="F364" t="s">
        <v>967</v>
      </c>
      <c r="G364" t="s">
        <v>872</v>
      </c>
      <c r="H364">
        <v>1</v>
      </c>
      <c r="I364">
        <v>91.73</v>
      </c>
      <c r="J364">
        <v>0</v>
      </c>
      <c r="K364" s="3">
        <v>0</v>
      </c>
      <c r="L364">
        <v>91.73</v>
      </c>
      <c r="M364">
        <v>15.290000000000006</v>
      </c>
      <c r="N364" t="str">
        <f>"P. "&amp;(Sales__tbl[[#This Row],[product_id]]&amp;"."&amp;TEXT(Sales__tbl[[#This Row],[selling_price]],"0.00"))</f>
        <v>P. P.id12.91.73</v>
      </c>
    </row>
    <row r="365" spans="1:14" x14ac:dyDescent="0.25">
      <c r="A365">
        <v>364</v>
      </c>
      <c r="B365" s="9" t="str">
        <f>TEXT(Sales__tbl[[#This Row],[date]],"MM")</f>
        <v>02</v>
      </c>
      <c r="C365" s="13">
        <v>45332</v>
      </c>
      <c r="D365" t="str">
        <f>_xlfn.XLOOKUP(Sales__tbl[[#This Row],[customer_id]],customer_tbl[customer_id],customer_tbl[Branch_id],"Not found")</f>
        <v>E02</v>
      </c>
      <c r="E365" t="s">
        <v>1156</v>
      </c>
      <c r="F365" t="s">
        <v>956</v>
      </c>
      <c r="G365" t="s">
        <v>831</v>
      </c>
      <c r="H365">
        <v>1</v>
      </c>
      <c r="I365">
        <v>303.48</v>
      </c>
      <c r="J365">
        <v>0.15</v>
      </c>
      <c r="K365" s="3">
        <v>45.521999999999991</v>
      </c>
      <c r="L365">
        <v>257.95800000000003</v>
      </c>
      <c r="M365">
        <v>64.658000000000015</v>
      </c>
      <c r="N365" t="str">
        <f>"P. "&amp;(Sales__tbl[[#This Row],[product_id]]&amp;"."&amp;TEXT(Sales__tbl[[#This Row],[selling_price]],"0.00"))</f>
        <v>P. P.id01.303.48</v>
      </c>
    </row>
    <row r="366" spans="1:14" x14ac:dyDescent="0.25">
      <c r="A366">
        <v>365</v>
      </c>
      <c r="B366" s="9" t="str">
        <f>TEXT(Sales__tbl[[#This Row],[date]],"MM")</f>
        <v>02</v>
      </c>
      <c r="C366" s="13">
        <v>45333</v>
      </c>
      <c r="D366" t="str">
        <f>_xlfn.XLOOKUP(Sales__tbl[[#This Row],[customer_id]],customer_tbl[customer_id],customer_tbl[Branch_id],"Not found")</f>
        <v>E01</v>
      </c>
      <c r="E366" t="s">
        <v>1074</v>
      </c>
      <c r="F366" t="s">
        <v>963</v>
      </c>
      <c r="G366" t="s">
        <v>942</v>
      </c>
      <c r="H366">
        <v>2</v>
      </c>
      <c r="I366">
        <v>274.16000000000003</v>
      </c>
      <c r="J366">
        <v>0.2</v>
      </c>
      <c r="K366" s="3">
        <v>109.66399999999999</v>
      </c>
      <c r="L366">
        <v>438.65600000000006</v>
      </c>
      <c r="M366">
        <v>57.87600000000009</v>
      </c>
      <c r="N366" t="str">
        <f>"P. "&amp;(Sales__tbl[[#This Row],[product_id]]&amp;"."&amp;TEXT(Sales__tbl[[#This Row],[selling_price]],"0.00"))</f>
        <v>P. P.id08.274.16</v>
      </c>
    </row>
    <row r="367" spans="1:14" x14ac:dyDescent="0.25">
      <c r="A367">
        <v>366</v>
      </c>
      <c r="B367" s="9" t="str">
        <f>TEXT(Sales__tbl[[#This Row],[date]],"MM")</f>
        <v>02</v>
      </c>
      <c r="C367" s="13">
        <v>45334</v>
      </c>
      <c r="D367" t="str">
        <f>_xlfn.XLOOKUP(Sales__tbl[[#This Row],[customer_id]],customer_tbl[customer_id],customer_tbl[Branch_id],"Not found")</f>
        <v>S01</v>
      </c>
      <c r="E367" t="s">
        <v>1004</v>
      </c>
      <c r="F367" t="s">
        <v>961</v>
      </c>
      <c r="G367" t="s">
        <v>940</v>
      </c>
      <c r="H367">
        <v>2</v>
      </c>
      <c r="I367">
        <v>66.790000000000006</v>
      </c>
      <c r="J367">
        <v>0</v>
      </c>
      <c r="K367" s="3">
        <v>0</v>
      </c>
      <c r="L367">
        <v>133.58000000000001</v>
      </c>
      <c r="M367">
        <v>45.700000000000017</v>
      </c>
      <c r="N367" t="str">
        <f>"P. "&amp;(Sales__tbl[[#This Row],[product_id]]&amp;"."&amp;TEXT(Sales__tbl[[#This Row],[selling_price]],"0.00"))</f>
        <v>P. P.id06.66.79</v>
      </c>
    </row>
    <row r="368" spans="1:14" x14ac:dyDescent="0.25">
      <c r="A368">
        <v>367</v>
      </c>
      <c r="B368" s="9" t="str">
        <f>TEXT(Sales__tbl[[#This Row],[date]],"MM")</f>
        <v>02</v>
      </c>
      <c r="C368" s="13">
        <v>45335</v>
      </c>
      <c r="D368" t="str">
        <f>_xlfn.XLOOKUP(Sales__tbl[[#This Row],[customer_id]],customer_tbl[customer_id],customer_tbl[Branch_id],"Not found")</f>
        <v>S01</v>
      </c>
      <c r="E368" t="s">
        <v>1072</v>
      </c>
      <c r="F368" t="s">
        <v>956</v>
      </c>
      <c r="G368" t="s">
        <v>831</v>
      </c>
      <c r="H368">
        <v>1</v>
      </c>
      <c r="I368">
        <v>303.48</v>
      </c>
      <c r="J368">
        <v>0.15</v>
      </c>
      <c r="K368" s="3">
        <v>45.521999999999991</v>
      </c>
      <c r="L368">
        <v>257.95800000000003</v>
      </c>
      <c r="M368">
        <v>64.658000000000015</v>
      </c>
      <c r="N368" t="str">
        <f>"P. "&amp;(Sales__tbl[[#This Row],[product_id]]&amp;"."&amp;TEXT(Sales__tbl[[#This Row],[selling_price]],"0.00"))</f>
        <v>P. P.id01.303.48</v>
      </c>
    </row>
    <row r="369" spans="1:14" x14ac:dyDescent="0.25">
      <c r="A369">
        <v>368</v>
      </c>
      <c r="B369" s="9" t="str">
        <f>TEXT(Sales__tbl[[#This Row],[date]],"MM")</f>
        <v>02</v>
      </c>
      <c r="C369" s="13">
        <v>45336</v>
      </c>
      <c r="D369" t="str">
        <f>_xlfn.XLOOKUP(Sales__tbl[[#This Row],[customer_id]],customer_tbl[customer_id],customer_tbl[Branch_id],"Not found")</f>
        <v>S02</v>
      </c>
      <c r="E369" t="s">
        <v>1092</v>
      </c>
      <c r="F369" t="s">
        <v>959</v>
      </c>
      <c r="G369" t="s">
        <v>837</v>
      </c>
      <c r="H369">
        <v>1</v>
      </c>
      <c r="I369">
        <v>11.53</v>
      </c>
      <c r="J369">
        <v>0</v>
      </c>
      <c r="K369" s="3">
        <v>0</v>
      </c>
      <c r="L369">
        <v>11.53</v>
      </c>
      <c r="M369">
        <v>2.5199999999999996</v>
      </c>
      <c r="N369" t="str">
        <f>"P. "&amp;(Sales__tbl[[#This Row],[product_id]]&amp;"."&amp;TEXT(Sales__tbl[[#This Row],[selling_price]],"0.00"))</f>
        <v>P. P.id04.11.53</v>
      </c>
    </row>
    <row r="370" spans="1:14" x14ac:dyDescent="0.25">
      <c r="A370">
        <v>369</v>
      </c>
      <c r="B370" s="9" t="str">
        <f>TEXT(Sales__tbl[[#This Row],[date]],"MM")</f>
        <v>02</v>
      </c>
      <c r="C370" s="13">
        <v>45337</v>
      </c>
      <c r="D370" t="str">
        <f>_xlfn.XLOOKUP(Sales__tbl[[#This Row],[customer_id]],customer_tbl[customer_id],customer_tbl[Branch_id],"Not found")</f>
        <v>N01</v>
      </c>
      <c r="E370" t="s">
        <v>1172</v>
      </c>
      <c r="F370" t="s">
        <v>963</v>
      </c>
      <c r="G370" t="s">
        <v>942</v>
      </c>
      <c r="H370">
        <v>1</v>
      </c>
      <c r="I370">
        <v>274.16000000000003</v>
      </c>
      <c r="J370">
        <v>0.1</v>
      </c>
      <c r="K370" s="3">
        <v>27.415999999999997</v>
      </c>
      <c r="L370">
        <v>246.74400000000003</v>
      </c>
      <c r="M370">
        <v>56.354000000000042</v>
      </c>
      <c r="N370" t="str">
        <f>"P. "&amp;(Sales__tbl[[#This Row],[product_id]]&amp;"."&amp;TEXT(Sales__tbl[[#This Row],[selling_price]],"0.00"))</f>
        <v>P. P.id08.274.16</v>
      </c>
    </row>
    <row r="371" spans="1:14" x14ac:dyDescent="0.25">
      <c r="A371">
        <v>370</v>
      </c>
      <c r="B371" s="9" t="str">
        <f>TEXT(Sales__tbl[[#This Row],[date]],"MM")</f>
        <v>02</v>
      </c>
      <c r="C371" s="13">
        <v>45338</v>
      </c>
      <c r="D371" t="str">
        <f>_xlfn.XLOOKUP(Sales__tbl[[#This Row],[customer_id]],customer_tbl[customer_id],customer_tbl[Branch_id],"Not found")</f>
        <v>S02</v>
      </c>
      <c r="E371" t="s">
        <v>1092</v>
      </c>
      <c r="F371" t="s">
        <v>962</v>
      </c>
      <c r="G371" t="s">
        <v>941</v>
      </c>
      <c r="H371">
        <v>1</v>
      </c>
      <c r="I371">
        <v>259.11</v>
      </c>
      <c r="J371">
        <v>0.1</v>
      </c>
      <c r="K371" s="3">
        <v>25.911000000000001</v>
      </c>
      <c r="L371">
        <v>233.19900000000001</v>
      </c>
      <c r="M371">
        <v>59.299000000000007</v>
      </c>
      <c r="N371" t="str">
        <f>"P. "&amp;(Sales__tbl[[#This Row],[product_id]]&amp;"."&amp;TEXT(Sales__tbl[[#This Row],[selling_price]],"0.00"))</f>
        <v>P. P.id07.259.11</v>
      </c>
    </row>
    <row r="372" spans="1:14" x14ac:dyDescent="0.25">
      <c r="A372">
        <v>371</v>
      </c>
      <c r="B372" s="9" t="str">
        <f>TEXT(Sales__tbl[[#This Row],[date]],"MM")</f>
        <v>02</v>
      </c>
      <c r="C372" s="13">
        <v>45339</v>
      </c>
      <c r="D372" t="str">
        <f>_xlfn.XLOOKUP(Sales__tbl[[#This Row],[customer_id]],customer_tbl[customer_id],customer_tbl[Branch_id],"Not found")</f>
        <v>E02</v>
      </c>
      <c r="E372" t="s">
        <v>1128</v>
      </c>
      <c r="F372" t="s">
        <v>965</v>
      </c>
      <c r="G372" t="s">
        <v>847</v>
      </c>
      <c r="H372">
        <v>1</v>
      </c>
      <c r="I372">
        <v>168</v>
      </c>
      <c r="J372">
        <v>0.1</v>
      </c>
      <c r="K372" s="3">
        <v>16.799999999999983</v>
      </c>
      <c r="L372">
        <v>151.20000000000002</v>
      </c>
      <c r="M372">
        <v>29.460000000000022</v>
      </c>
      <c r="N372" t="str">
        <f>"P. "&amp;(Sales__tbl[[#This Row],[product_id]]&amp;"."&amp;TEXT(Sales__tbl[[#This Row],[selling_price]],"0.00"))</f>
        <v>P. P.id10.168.00</v>
      </c>
    </row>
    <row r="373" spans="1:14" x14ac:dyDescent="0.25">
      <c r="A373">
        <v>372</v>
      </c>
      <c r="B373" s="9" t="str">
        <f>TEXT(Sales__tbl[[#This Row],[date]],"MM")</f>
        <v>02</v>
      </c>
      <c r="C373" s="13">
        <v>45340</v>
      </c>
      <c r="D373" t="str">
        <f>_xlfn.XLOOKUP(Sales__tbl[[#This Row],[customer_id]],customer_tbl[customer_id],customer_tbl[Branch_id],"Not found")</f>
        <v>W01</v>
      </c>
      <c r="E373" t="s">
        <v>995</v>
      </c>
      <c r="F373" t="s">
        <v>963</v>
      </c>
      <c r="G373" t="s">
        <v>942</v>
      </c>
      <c r="H373">
        <v>2</v>
      </c>
      <c r="I373">
        <v>274.16000000000003</v>
      </c>
      <c r="J373">
        <v>0.2</v>
      </c>
      <c r="K373" s="3">
        <v>109.66399999999999</v>
      </c>
      <c r="L373">
        <v>438.65600000000006</v>
      </c>
      <c r="M373">
        <v>57.87600000000009</v>
      </c>
      <c r="N373" t="str">
        <f>"P. "&amp;(Sales__tbl[[#This Row],[product_id]]&amp;"."&amp;TEXT(Sales__tbl[[#This Row],[selling_price]],"0.00"))</f>
        <v>P. P.id08.274.16</v>
      </c>
    </row>
    <row r="374" spans="1:14" x14ac:dyDescent="0.25">
      <c r="A374">
        <v>373</v>
      </c>
      <c r="B374" s="9" t="str">
        <f>TEXT(Sales__tbl[[#This Row],[date]],"MM")</f>
        <v>02</v>
      </c>
      <c r="C374" s="13">
        <v>45341</v>
      </c>
      <c r="D374" t="str">
        <f>_xlfn.XLOOKUP(Sales__tbl[[#This Row],[customer_id]],customer_tbl[customer_id],customer_tbl[Branch_id],"Not found")</f>
        <v>E02</v>
      </c>
      <c r="E374" t="s">
        <v>1060</v>
      </c>
      <c r="F374" t="s">
        <v>967</v>
      </c>
      <c r="G374" t="s">
        <v>872</v>
      </c>
      <c r="H374">
        <v>1</v>
      </c>
      <c r="I374">
        <v>91.73</v>
      </c>
      <c r="J374">
        <v>0</v>
      </c>
      <c r="K374" s="3">
        <v>0</v>
      </c>
      <c r="L374">
        <v>91.73</v>
      </c>
      <c r="M374">
        <v>15.290000000000006</v>
      </c>
      <c r="N374" t="str">
        <f>"P. "&amp;(Sales__tbl[[#This Row],[product_id]]&amp;"."&amp;TEXT(Sales__tbl[[#This Row],[selling_price]],"0.00"))</f>
        <v>P. P.id12.91.73</v>
      </c>
    </row>
    <row r="375" spans="1:14" x14ac:dyDescent="0.25">
      <c r="A375">
        <v>374</v>
      </c>
      <c r="B375" s="9" t="str">
        <f>TEXT(Sales__tbl[[#This Row],[date]],"MM")</f>
        <v>02</v>
      </c>
      <c r="C375" s="13">
        <v>45342</v>
      </c>
      <c r="D375" t="str">
        <f>_xlfn.XLOOKUP(Sales__tbl[[#This Row],[customer_id]],customer_tbl[customer_id],customer_tbl[Branch_id],"Not found")</f>
        <v>W01</v>
      </c>
      <c r="E375" t="s">
        <v>1049</v>
      </c>
      <c r="F375" t="s">
        <v>963</v>
      </c>
      <c r="G375" t="s">
        <v>942</v>
      </c>
      <c r="H375">
        <v>2</v>
      </c>
      <c r="I375">
        <v>274.16000000000003</v>
      </c>
      <c r="J375">
        <v>0.2</v>
      </c>
      <c r="K375" s="3">
        <v>109.66399999999999</v>
      </c>
      <c r="L375">
        <v>438.65600000000006</v>
      </c>
      <c r="M375">
        <v>57.87600000000009</v>
      </c>
      <c r="N375" t="str">
        <f>"P. "&amp;(Sales__tbl[[#This Row],[product_id]]&amp;"."&amp;TEXT(Sales__tbl[[#This Row],[selling_price]],"0.00"))</f>
        <v>P. P.id08.274.16</v>
      </c>
    </row>
    <row r="376" spans="1:14" x14ac:dyDescent="0.25">
      <c r="A376">
        <v>375</v>
      </c>
      <c r="B376" s="9" t="str">
        <f>TEXT(Sales__tbl[[#This Row],[date]],"MM")</f>
        <v>02</v>
      </c>
      <c r="C376" s="13">
        <v>45343</v>
      </c>
      <c r="D376" t="str">
        <f>_xlfn.XLOOKUP(Sales__tbl[[#This Row],[customer_id]],customer_tbl[customer_id],customer_tbl[Branch_id],"Not found")</f>
        <v>N01</v>
      </c>
      <c r="E376" t="s">
        <v>1172</v>
      </c>
      <c r="F376" t="s">
        <v>958</v>
      </c>
      <c r="G376" t="s">
        <v>939</v>
      </c>
      <c r="H376">
        <v>1</v>
      </c>
      <c r="I376">
        <v>90.53</v>
      </c>
      <c r="J376">
        <v>0</v>
      </c>
      <c r="K376" s="3">
        <v>0</v>
      </c>
      <c r="L376">
        <v>90.53</v>
      </c>
      <c r="M376">
        <v>12.489999999999995</v>
      </c>
      <c r="N376" t="str">
        <f>"P. "&amp;(Sales__tbl[[#This Row],[product_id]]&amp;"."&amp;TEXT(Sales__tbl[[#This Row],[selling_price]],"0.00"))</f>
        <v>P. P.id03.90.53</v>
      </c>
    </row>
    <row r="377" spans="1:14" x14ac:dyDescent="0.25">
      <c r="A377">
        <v>376</v>
      </c>
      <c r="B377" s="9" t="str">
        <f>TEXT(Sales__tbl[[#This Row],[date]],"MM")</f>
        <v>02</v>
      </c>
      <c r="C377" s="13">
        <v>45344</v>
      </c>
      <c r="D377" t="str">
        <f>_xlfn.XLOOKUP(Sales__tbl[[#This Row],[customer_id]],customer_tbl[customer_id],customer_tbl[Branch_id],"Not found")</f>
        <v>W01</v>
      </c>
      <c r="E377" t="s">
        <v>1007</v>
      </c>
      <c r="F377" t="s">
        <v>963</v>
      </c>
      <c r="G377" t="s">
        <v>942</v>
      </c>
      <c r="H377">
        <v>1</v>
      </c>
      <c r="I377">
        <v>274.16000000000003</v>
      </c>
      <c r="J377">
        <v>0.1</v>
      </c>
      <c r="K377" s="3">
        <v>27.415999999999997</v>
      </c>
      <c r="L377">
        <v>246.74400000000003</v>
      </c>
      <c r="M377">
        <v>56.354000000000042</v>
      </c>
      <c r="N377" t="str">
        <f>"P. "&amp;(Sales__tbl[[#This Row],[product_id]]&amp;"."&amp;TEXT(Sales__tbl[[#This Row],[selling_price]],"0.00"))</f>
        <v>P. P.id08.274.16</v>
      </c>
    </row>
    <row r="378" spans="1:14" x14ac:dyDescent="0.25">
      <c r="A378">
        <v>377</v>
      </c>
      <c r="B378" s="9" t="str">
        <f>TEXT(Sales__tbl[[#This Row],[date]],"MM")</f>
        <v>02</v>
      </c>
      <c r="C378" s="13">
        <v>45345</v>
      </c>
      <c r="D378" t="str">
        <f>_xlfn.XLOOKUP(Sales__tbl[[#This Row],[customer_id]],customer_tbl[customer_id],customer_tbl[Branch_id],"Not found")</f>
        <v>N01</v>
      </c>
      <c r="E378" t="s">
        <v>1181</v>
      </c>
      <c r="F378" t="s">
        <v>962</v>
      </c>
      <c r="G378" t="s">
        <v>941</v>
      </c>
      <c r="H378">
        <v>1</v>
      </c>
      <c r="I378">
        <v>259.11</v>
      </c>
      <c r="J378">
        <v>0.1</v>
      </c>
      <c r="K378" s="3">
        <v>25.911000000000001</v>
      </c>
      <c r="L378">
        <v>233.19900000000001</v>
      </c>
      <c r="M378">
        <v>59.299000000000007</v>
      </c>
      <c r="N378" t="str">
        <f>"P. "&amp;(Sales__tbl[[#This Row],[product_id]]&amp;"."&amp;TEXT(Sales__tbl[[#This Row],[selling_price]],"0.00"))</f>
        <v>P. P.id07.259.11</v>
      </c>
    </row>
    <row r="379" spans="1:14" x14ac:dyDescent="0.25">
      <c r="A379">
        <v>378</v>
      </c>
      <c r="B379" s="9" t="str">
        <f>TEXT(Sales__tbl[[#This Row],[date]],"MM")</f>
        <v>02</v>
      </c>
      <c r="C379" s="13">
        <v>45346</v>
      </c>
      <c r="D379" t="str">
        <f>_xlfn.XLOOKUP(Sales__tbl[[#This Row],[customer_id]],customer_tbl[customer_id],customer_tbl[Branch_id],"Not found")</f>
        <v>S02</v>
      </c>
      <c r="E379" t="s">
        <v>1085</v>
      </c>
      <c r="F379" t="s">
        <v>967</v>
      </c>
      <c r="G379" t="s">
        <v>872</v>
      </c>
      <c r="H379">
        <v>2</v>
      </c>
      <c r="I379">
        <v>91.73</v>
      </c>
      <c r="J379">
        <v>0.1</v>
      </c>
      <c r="K379" s="3">
        <v>18.346000000000004</v>
      </c>
      <c r="L379">
        <v>165.114</v>
      </c>
      <c r="M379">
        <v>12.234000000000009</v>
      </c>
      <c r="N379" t="str">
        <f>"P. "&amp;(Sales__tbl[[#This Row],[product_id]]&amp;"."&amp;TEXT(Sales__tbl[[#This Row],[selling_price]],"0.00"))</f>
        <v>P. P.id12.91.73</v>
      </c>
    </row>
    <row r="380" spans="1:14" x14ac:dyDescent="0.25">
      <c r="A380">
        <v>379</v>
      </c>
      <c r="B380" s="9" t="str">
        <f>TEXT(Sales__tbl[[#This Row],[date]],"MM")</f>
        <v>02</v>
      </c>
      <c r="C380" s="13">
        <v>45347</v>
      </c>
      <c r="D380" t="str">
        <f>_xlfn.XLOOKUP(Sales__tbl[[#This Row],[customer_id]],customer_tbl[customer_id],customer_tbl[Branch_id],"Not found")</f>
        <v>E02</v>
      </c>
      <c r="E380" t="s">
        <v>1128</v>
      </c>
      <c r="F380" t="s">
        <v>959</v>
      </c>
      <c r="G380" t="s">
        <v>837</v>
      </c>
      <c r="H380">
        <v>1</v>
      </c>
      <c r="I380">
        <v>11.53</v>
      </c>
      <c r="J380">
        <v>0</v>
      </c>
      <c r="K380" s="3">
        <v>0</v>
      </c>
      <c r="L380">
        <v>11.53</v>
      </c>
      <c r="M380">
        <v>2.5199999999999996</v>
      </c>
      <c r="N380" t="str">
        <f>"P. "&amp;(Sales__tbl[[#This Row],[product_id]]&amp;"."&amp;TEXT(Sales__tbl[[#This Row],[selling_price]],"0.00"))</f>
        <v>P. P.id04.11.53</v>
      </c>
    </row>
    <row r="381" spans="1:14" x14ac:dyDescent="0.25">
      <c r="A381">
        <v>380</v>
      </c>
      <c r="B381" s="9" t="str">
        <f>TEXT(Sales__tbl[[#This Row],[date]],"MM")</f>
        <v>02</v>
      </c>
      <c r="C381" s="13">
        <v>45348</v>
      </c>
      <c r="D381" t="str">
        <f>_xlfn.XLOOKUP(Sales__tbl[[#This Row],[customer_id]],customer_tbl[customer_id],customer_tbl[Branch_id],"Not found")</f>
        <v>W02</v>
      </c>
      <c r="E381" t="s">
        <v>1167</v>
      </c>
      <c r="F381" t="s">
        <v>961</v>
      </c>
      <c r="G381" t="s">
        <v>940</v>
      </c>
      <c r="H381">
        <v>1</v>
      </c>
      <c r="I381">
        <v>66.790000000000006</v>
      </c>
      <c r="J381">
        <v>0</v>
      </c>
      <c r="K381" s="3">
        <v>0</v>
      </c>
      <c r="L381">
        <v>66.790000000000006</v>
      </c>
      <c r="M381">
        <v>22.850000000000009</v>
      </c>
      <c r="N381" t="str">
        <f>"P. "&amp;(Sales__tbl[[#This Row],[product_id]]&amp;"."&amp;TEXT(Sales__tbl[[#This Row],[selling_price]],"0.00"))</f>
        <v>P. P.id06.66.79</v>
      </c>
    </row>
    <row r="382" spans="1:14" x14ac:dyDescent="0.25">
      <c r="A382">
        <v>381</v>
      </c>
      <c r="B382" s="9" t="str">
        <f>TEXT(Sales__tbl[[#This Row],[date]],"MM")</f>
        <v>02</v>
      </c>
      <c r="C382" s="13">
        <v>45349</v>
      </c>
      <c r="D382" t="str">
        <f>_xlfn.XLOOKUP(Sales__tbl[[#This Row],[customer_id]],customer_tbl[customer_id],customer_tbl[Branch_id],"Not found")</f>
        <v>E01</v>
      </c>
      <c r="E382" t="s">
        <v>1173</v>
      </c>
      <c r="F382" t="s">
        <v>961</v>
      </c>
      <c r="G382" t="s">
        <v>940</v>
      </c>
      <c r="H382">
        <v>2</v>
      </c>
      <c r="I382">
        <v>66.790000000000006</v>
      </c>
      <c r="J382">
        <v>0</v>
      </c>
      <c r="K382" s="3">
        <v>0</v>
      </c>
      <c r="L382">
        <v>133.58000000000001</v>
      </c>
      <c r="M382">
        <v>45.700000000000017</v>
      </c>
      <c r="N382" t="str">
        <f>"P. "&amp;(Sales__tbl[[#This Row],[product_id]]&amp;"."&amp;TEXT(Sales__tbl[[#This Row],[selling_price]],"0.00"))</f>
        <v>P. P.id06.66.79</v>
      </c>
    </row>
    <row r="383" spans="1:14" x14ac:dyDescent="0.25">
      <c r="A383">
        <v>382</v>
      </c>
      <c r="B383" s="9" t="str">
        <f>TEXT(Sales__tbl[[#This Row],[date]],"MM")</f>
        <v>02</v>
      </c>
      <c r="C383" s="13">
        <v>45350</v>
      </c>
      <c r="D383" t="str">
        <f>_xlfn.XLOOKUP(Sales__tbl[[#This Row],[customer_id]],customer_tbl[customer_id],customer_tbl[Branch_id],"Not found")</f>
        <v>C01</v>
      </c>
      <c r="E383" t="s">
        <v>1056</v>
      </c>
      <c r="F383" t="s">
        <v>966</v>
      </c>
      <c r="G383" t="s">
        <v>851</v>
      </c>
      <c r="H383">
        <v>2</v>
      </c>
      <c r="I383">
        <v>196.75</v>
      </c>
      <c r="J383">
        <v>0.15</v>
      </c>
      <c r="K383" s="3">
        <v>59.025000000000034</v>
      </c>
      <c r="L383">
        <v>334.47499999999997</v>
      </c>
      <c r="M383">
        <v>22.174999999999955</v>
      </c>
      <c r="N383" t="str">
        <f>"P. "&amp;(Sales__tbl[[#This Row],[product_id]]&amp;"."&amp;TEXT(Sales__tbl[[#This Row],[selling_price]],"0.00"))</f>
        <v>P. P.id11.196.75</v>
      </c>
    </row>
    <row r="384" spans="1:14" x14ac:dyDescent="0.25">
      <c r="A384">
        <v>383</v>
      </c>
      <c r="B384" s="9" t="str">
        <f>TEXT(Sales__tbl[[#This Row],[date]],"MM")</f>
        <v>02</v>
      </c>
      <c r="C384" s="13">
        <v>45351</v>
      </c>
      <c r="D384" t="str">
        <f>_xlfn.XLOOKUP(Sales__tbl[[#This Row],[customer_id]],customer_tbl[customer_id],customer_tbl[Branch_id],"Not found")</f>
        <v>N01</v>
      </c>
      <c r="E384" t="s">
        <v>1113</v>
      </c>
      <c r="F384" t="s">
        <v>957</v>
      </c>
      <c r="G384" t="s">
        <v>833</v>
      </c>
      <c r="H384">
        <v>1</v>
      </c>
      <c r="I384">
        <v>55.26</v>
      </c>
      <c r="J384">
        <v>0</v>
      </c>
      <c r="K384" s="3">
        <v>0</v>
      </c>
      <c r="L384">
        <v>55.26</v>
      </c>
      <c r="M384">
        <v>19.839999999999996</v>
      </c>
      <c r="N384" t="str">
        <f>"P. "&amp;(Sales__tbl[[#This Row],[product_id]]&amp;"."&amp;TEXT(Sales__tbl[[#This Row],[selling_price]],"0.00"))</f>
        <v>P. P.id02.55.26</v>
      </c>
    </row>
    <row r="385" spans="1:14" x14ac:dyDescent="0.25">
      <c r="A385">
        <v>384</v>
      </c>
      <c r="B385" s="9" t="str">
        <f>TEXT(Sales__tbl[[#This Row],[date]],"MM")</f>
        <v>03</v>
      </c>
      <c r="C385" s="13">
        <v>45352</v>
      </c>
      <c r="D385" t="str">
        <f>_xlfn.XLOOKUP(Sales__tbl[[#This Row],[customer_id]],customer_tbl[customer_id],customer_tbl[Branch_id],"Not found")</f>
        <v>N02</v>
      </c>
      <c r="E385" t="s">
        <v>1005</v>
      </c>
      <c r="F385" t="s">
        <v>965</v>
      </c>
      <c r="G385" t="s">
        <v>847</v>
      </c>
      <c r="H385">
        <v>2</v>
      </c>
      <c r="I385">
        <v>168</v>
      </c>
      <c r="J385">
        <v>0.15</v>
      </c>
      <c r="K385" s="3">
        <v>50.400000000000034</v>
      </c>
      <c r="L385">
        <v>285.59999999999997</v>
      </c>
      <c r="M385">
        <v>42.119999999999976</v>
      </c>
      <c r="N385" t="str">
        <f>"P. "&amp;(Sales__tbl[[#This Row],[product_id]]&amp;"."&amp;TEXT(Sales__tbl[[#This Row],[selling_price]],"0.00"))</f>
        <v>P. P.id10.168.00</v>
      </c>
    </row>
    <row r="386" spans="1:14" x14ac:dyDescent="0.25">
      <c r="A386">
        <v>385</v>
      </c>
      <c r="B386" s="9" t="str">
        <f>TEXT(Sales__tbl[[#This Row],[date]],"MM")</f>
        <v>03</v>
      </c>
      <c r="C386" s="13">
        <v>45353</v>
      </c>
      <c r="D386" t="str">
        <f>_xlfn.XLOOKUP(Sales__tbl[[#This Row],[customer_id]],customer_tbl[customer_id],customer_tbl[Branch_id],"Not found")</f>
        <v>W02</v>
      </c>
      <c r="E386" t="s">
        <v>1182</v>
      </c>
      <c r="F386" t="s">
        <v>966</v>
      </c>
      <c r="G386" t="s">
        <v>851</v>
      </c>
      <c r="H386">
        <v>2</v>
      </c>
      <c r="I386">
        <v>196.75</v>
      </c>
      <c r="J386">
        <v>0.15</v>
      </c>
      <c r="K386" s="3">
        <v>59.025000000000034</v>
      </c>
      <c r="L386">
        <v>334.47499999999997</v>
      </c>
      <c r="M386">
        <v>22.174999999999955</v>
      </c>
      <c r="N386" t="str">
        <f>"P. "&amp;(Sales__tbl[[#This Row],[product_id]]&amp;"."&amp;TEXT(Sales__tbl[[#This Row],[selling_price]],"0.00"))</f>
        <v>P. P.id11.196.75</v>
      </c>
    </row>
    <row r="387" spans="1:14" x14ac:dyDescent="0.25">
      <c r="A387">
        <v>386</v>
      </c>
      <c r="B387" s="9" t="str">
        <f>TEXT(Sales__tbl[[#This Row],[date]],"MM")</f>
        <v>03</v>
      </c>
      <c r="C387" s="13">
        <v>45354</v>
      </c>
      <c r="D387" t="str">
        <f>_xlfn.XLOOKUP(Sales__tbl[[#This Row],[customer_id]],customer_tbl[customer_id],customer_tbl[Branch_id],"Not found")</f>
        <v>E02</v>
      </c>
      <c r="E387" t="s">
        <v>1156</v>
      </c>
      <c r="F387" t="s">
        <v>958</v>
      </c>
      <c r="G387" t="s">
        <v>939</v>
      </c>
      <c r="H387">
        <v>1</v>
      </c>
      <c r="I387">
        <v>90.53</v>
      </c>
      <c r="J387">
        <v>0</v>
      </c>
      <c r="K387" s="3">
        <v>0</v>
      </c>
      <c r="L387">
        <v>90.53</v>
      </c>
      <c r="M387">
        <v>12.489999999999995</v>
      </c>
      <c r="N387" t="str">
        <f>"P. "&amp;(Sales__tbl[[#This Row],[product_id]]&amp;"."&amp;TEXT(Sales__tbl[[#This Row],[selling_price]],"0.00"))</f>
        <v>P. P.id03.90.53</v>
      </c>
    </row>
    <row r="388" spans="1:14" x14ac:dyDescent="0.25">
      <c r="A388">
        <v>387</v>
      </c>
      <c r="B388" s="9" t="str">
        <f>TEXT(Sales__tbl[[#This Row],[date]],"MM")</f>
        <v>03</v>
      </c>
      <c r="C388" s="13">
        <v>45355</v>
      </c>
      <c r="D388" t="str">
        <f>_xlfn.XLOOKUP(Sales__tbl[[#This Row],[customer_id]],customer_tbl[customer_id],customer_tbl[Branch_id],"Not found")</f>
        <v>S01</v>
      </c>
      <c r="E388" t="s">
        <v>1183</v>
      </c>
      <c r="F388" t="s">
        <v>957</v>
      </c>
      <c r="G388" t="s">
        <v>833</v>
      </c>
      <c r="H388">
        <v>1</v>
      </c>
      <c r="I388">
        <v>55.26</v>
      </c>
      <c r="J388">
        <v>0</v>
      </c>
      <c r="K388" s="3">
        <v>0</v>
      </c>
      <c r="L388">
        <v>55.26</v>
      </c>
      <c r="M388">
        <v>19.839999999999996</v>
      </c>
      <c r="N388" t="str">
        <f>"P. "&amp;(Sales__tbl[[#This Row],[product_id]]&amp;"."&amp;TEXT(Sales__tbl[[#This Row],[selling_price]],"0.00"))</f>
        <v>P. P.id02.55.26</v>
      </c>
    </row>
    <row r="389" spans="1:14" x14ac:dyDescent="0.25">
      <c r="A389">
        <v>388</v>
      </c>
      <c r="B389" s="9" t="str">
        <f>TEXT(Sales__tbl[[#This Row],[date]],"MM")</f>
        <v>03</v>
      </c>
      <c r="C389" s="13">
        <v>45356</v>
      </c>
      <c r="D389" t="str">
        <f>_xlfn.XLOOKUP(Sales__tbl[[#This Row],[customer_id]],customer_tbl[customer_id],customer_tbl[Branch_id],"Not found")</f>
        <v>N02</v>
      </c>
      <c r="E389" t="s">
        <v>1005</v>
      </c>
      <c r="F389" t="s">
        <v>962</v>
      </c>
      <c r="G389" t="s">
        <v>941</v>
      </c>
      <c r="H389">
        <v>1</v>
      </c>
      <c r="I389">
        <v>259.11</v>
      </c>
      <c r="J389">
        <v>0.1</v>
      </c>
      <c r="K389" s="3">
        <v>25.911000000000001</v>
      </c>
      <c r="L389">
        <v>233.19900000000001</v>
      </c>
      <c r="M389">
        <v>59.299000000000007</v>
      </c>
      <c r="N389" t="str">
        <f>"P. "&amp;(Sales__tbl[[#This Row],[product_id]]&amp;"."&amp;TEXT(Sales__tbl[[#This Row],[selling_price]],"0.00"))</f>
        <v>P. P.id07.259.11</v>
      </c>
    </row>
    <row r="390" spans="1:14" x14ac:dyDescent="0.25">
      <c r="A390">
        <v>389</v>
      </c>
      <c r="B390" s="9" t="str">
        <f>TEXT(Sales__tbl[[#This Row],[date]],"MM")</f>
        <v>03</v>
      </c>
      <c r="C390" s="13">
        <v>45357</v>
      </c>
      <c r="D390" t="str">
        <f>_xlfn.XLOOKUP(Sales__tbl[[#This Row],[customer_id]],customer_tbl[customer_id],customer_tbl[Branch_id],"Not found")</f>
        <v>C01</v>
      </c>
      <c r="E390" t="s">
        <v>1103</v>
      </c>
      <c r="F390" t="s">
        <v>961</v>
      </c>
      <c r="G390" t="s">
        <v>940</v>
      </c>
      <c r="H390">
        <v>1</v>
      </c>
      <c r="I390">
        <v>66.790000000000006</v>
      </c>
      <c r="J390">
        <v>0</v>
      </c>
      <c r="K390" s="3">
        <v>0</v>
      </c>
      <c r="L390">
        <v>66.790000000000006</v>
      </c>
      <c r="M390">
        <v>22.850000000000009</v>
      </c>
      <c r="N390" t="str">
        <f>"P. "&amp;(Sales__tbl[[#This Row],[product_id]]&amp;"."&amp;TEXT(Sales__tbl[[#This Row],[selling_price]],"0.00"))</f>
        <v>P. P.id06.66.79</v>
      </c>
    </row>
    <row r="391" spans="1:14" x14ac:dyDescent="0.25">
      <c r="A391">
        <v>390</v>
      </c>
      <c r="B391" s="9" t="str">
        <f>TEXT(Sales__tbl[[#This Row],[date]],"MM")</f>
        <v>03</v>
      </c>
      <c r="C391" s="13">
        <v>45358</v>
      </c>
      <c r="D391" t="str">
        <f>_xlfn.XLOOKUP(Sales__tbl[[#This Row],[customer_id]],customer_tbl[customer_id],customer_tbl[Branch_id],"Not found")</f>
        <v>S02</v>
      </c>
      <c r="E391" t="s">
        <v>1092</v>
      </c>
      <c r="F391" t="s">
        <v>966</v>
      </c>
      <c r="G391" t="s">
        <v>851</v>
      </c>
      <c r="H391">
        <v>1</v>
      </c>
      <c r="I391">
        <v>196.75</v>
      </c>
      <c r="J391">
        <v>0.1</v>
      </c>
      <c r="K391" s="3">
        <v>19.674999999999983</v>
      </c>
      <c r="L391">
        <v>177.07500000000002</v>
      </c>
      <c r="M391">
        <v>20.925000000000011</v>
      </c>
      <c r="N391" t="str">
        <f>"P. "&amp;(Sales__tbl[[#This Row],[product_id]]&amp;"."&amp;TEXT(Sales__tbl[[#This Row],[selling_price]],"0.00"))</f>
        <v>P. P.id11.196.75</v>
      </c>
    </row>
    <row r="392" spans="1:14" x14ac:dyDescent="0.25">
      <c r="A392">
        <v>391</v>
      </c>
      <c r="B392" s="9" t="str">
        <f>TEXT(Sales__tbl[[#This Row],[date]],"MM")</f>
        <v>03</v>
      </c>
      <c r="C392" s="13">
        <v>45359</v>
      </c>
      <c r="D392" t="str">
        <f>_xlfn.XLOOKUP(Sales__tbl[[#This Row],[customer_id]],customer_tbl[customer_id],customer_tbl[Branch_id],"Not found")</f>
        <v>E02</v>
      </c>
      <c r="E392" t="s">
        <v>1128</v>
      </c>
      <c r="F392" t="s">
        <v>965</v>
      </c>
      <c r="G392" t="s">
        <v>847</v>
      </c>
      <c r="H392">
        <v>1</v>
      </c>
      <c r="I392">
        <v>168</v>
      </c>
      <c r="J392">
        <v>0.1</v>
      </c>
      <c r="K392" s="3">
        <v>16.799999999999983</v>
      </c>
      <c r="L392">
        <v>151.20000000000002</v>
      </c>
      <c r="M392">
        <v>29.460000000000022</v>
      </c>
      <c r="N392" t="str">
        <f>"P. "&amp;(Sales__tbl[[#This Row],[product_id]]&amp;"."&amp;TEXT(Sales__tbl[[#This Row],[selling_price]],"0.00"))</f>
        <v>P. P.id10.168.00</v>
      </c>
    </row>
    <row r="393" spans="1:14" x14ac:dyDescent="0.25">
      <c r="A393">
        <v>392</v>
      </c>
      <c r="B393" s="9" t="str">
        <f>TEXT(Sales__tbl[[#This Row],[date]],"MM")</f>
        <v>03</v>
      </c>
      <c r="C393" s="13">
        <v>45360</v>
      </c>
      <c r="D393" t="str">
        <f>_xlfn.XLOOKUP(Sales__tbl[[#This Row],[customer_id]],customer_tbl[customer_id],customer_tbl[Branch_id],"Not found")</f>
        <v>S01</v>
      </c>
      <c r="E393" t="s">
        <v>1107</v>
      </c>
      <c r="F393" t="s">
        <v>960</v>
      </c>
      <c r="G393" t="s">
        <v>839</v>
      </c>
      <c r="H393">
        <v>1</v>
      </c>
      <c r="I393">
        <v>165.45</v>
      </c>
      <c r="J393">
        <v>0.1</v>
      </c>
      <c r="K393" s="3">
        <v>16.544999999999987</v>
      </c>
      <c r="L393">
        <v>148.905</v>
      </c>
      <c r="M393">
        <v>25.435000000000002</v>
      </c>
      <c r="N393" t="str">
        <f>"P. "&amp;(Sales__tbl[[#This Row],[product_id]]&amp;"."&amp;TEXT(Sales__tbl[[#This Row],[selling_price]],"0.00"))</f>
        <v>P. P.id05.165.45</v>
      </c>
    </row>
    <row r="394" spans="1:14" x14ac:dyDescent="0.25">
      <c r="A394">
        <v>393</v>
      </c>
      <c r="B394" s="9" t="str">
        <f>TEXT(Sales__tbl[[#This Row],[date]],"MM")</f>
        <v>03</v>
      </c>
      <c r="C394" s="13">
        <v>45361</v>
      </c>
      <c r="D394" t="str">
        <f>_xlfn.XLOOKUP(Sales__tbl[[#This Row],[customer_id]],customer_tbl[customer_id],customer_tbl[Branch_id],"Not found")</f>
        <v>N02</v>
      </c>
      <c r="E394" t="s">
        <v>1098</v>
      </c>
      <c r="F394" t="s">
        <v>966</v>
      </c>
      <c r="G394" t="s">
        <v>851</v>
      </c>
      <c r="H394">
        <v>1</v>
      </c>
      <c r="I394">
        <v>196.75</v>
      </c>
      <c r="J394">
        <v>0.1</v>
      </c>
      <c r="K394" s="3">
        <v>19.674999999999983</v>
      </c>
      <c r="L394">
        <v>177.07500000000002</v>
      </c>
      <c r="M394">
        <v>20.925000000000011</v>
      </c>
      <c r="N394" t="str">
        <f>"P. "&amp;(Sales__tbl[[#This Row],[product_id]]&amp;"."&amp;TEXT(Sales__tbl[[#This Row],[selling_price]],"0.00"))</f>
        <v>P. P.id11.196.75</v>
      </c>
    </row>
    <row r="395" spans="1:14" x14ac:dyDescent="0.25">
      <c r="A395">
        <v>394</v>
      </c>
      <c r="B395" s="9" t="str">
        <f>TEXT(Sales__tbl[[#This Row],[date]],"MM")</f>
        <v>03</v>
      </c>
      <c r="C395" s="13">
        <v>45362</v>
      </c>
      <c r="D395" t="str">
        <f>_xlfn.XLOOKUP(Sales__tbl[[#This Row],[customer_id]],customer_tbl[customer_id],customer_tbl[Branch_id],"Not found")</f>
        <v>W01</v>
      </c>
      <c r="E395" t="s">
        <v>1086</v>
      </c>
      <c r="F395" t="s">
        <v>966</v>
      </c>
      <c r="G395" t="s">
        <v>851</v>
      </c>
      <c r="H395">
        <v>2</v>
      </c>
      <c r="I395">
        <v>196.75</v>
      </c>
      <c r="J395">
        <v>0.15</v>
      </c>
      <c r="K395" s="3">
        <v>59.025000000000034</v>
      </c>
      <c r="L395">
        <v>334.47499999999997</v>
      </c>
      <c r="M395">
        <v>22.174999999999955</v>
      </c>
      <c r="N395" t="str">
        <f>"P. "&amp;(Sales__tbl[[#This Row],[product_id]]&amp;"."&amp;TEXT(Sales__tbl[[#This Row],[selling_price]],"0.00"))</f>
        <v>P. P.id11.196.75</v>
      </c>
    </row>
    <row r="396" spans="1:14" x14ac:dyDescent="0.25">
      <c r="A396">
        <v>395</v>
      </c>
      <c r="B396" s="9" t="str">
        <f>TEXT(Sales__tbl[[#This Row],[date]],"MM")</f>
        <v>03</v>
      </c>
      <c r="C396" s="13">
        <v>45363</v>
      </c>
      <c r="D396" t="str">
        <f>_xlfn.XLOOKUP(Sales__tbl[[#This Row],[customer_id]],customer_tbl[customer_id],customer_tbl[Branch_id],"Not found")</f>
        <v>S02</v>
      </c>
      <c r="E396" t="s">
        <v>1073</v>
      </c>
      <c r="F396" t="s">
        <v>962</v>
      </c>
      <c r="G396" t="s">
        <v>941</v>
      </c>
      <c r="H396">
        <v>1</v>
      </c>
      <c r="I396">
        <v>259.11</v>
      </c>
      <c r="J396">
        <v>0.1</v>
      </c>
      <c r="K396" s="3">
        <v>25.911000000000001</v>
      </c>
      <c r="L396">
        <v>233.19900000000001</v>
      </c>
      <c r="M396">
        <v>59.299000000000007</v>
      </c>
      <c r="N396" t="str">
        <f>"P. "&amp;(Sales__tbl[[#This Row],[product_id]]&amp;"."&amp;TEXT(Sales__tbl[[#This Row],[selling_price]],"0.00"))</f>
        <v>P. P.id07.259.11</v>
      </c>
    </row>
    <row r="397" spans="1:14" x14ac:dyDescent="0.25">
      <c r="A397">
        <v>396</v>
      </c>
      <c r="B397" s="9" t="str">
        <f>TEXT(Sales__tbl[[#This Row],[date]],"MM")</f>
        <v>03</v>
      </c>
      <c r="C397" s="13">
        <v>45364</v>
      </c>
      <c r="D397" t="str">
        <f>_xlfn.XLOOKUP(Sales__tbl[[#This Row],[customer_id]],customer_tbl[customer_id],customer_tbl[Branch_id],"Not found")</f>
        <v>S01</v>
      </c>
      <c r="E397" t="s">
        <v>1095</v>
      </c>
      <c r="F397" t="s">
        <v>966</v>
      </c>
      <c r="G397" t="s">
        <v>851</v>
      </c>
      <c r="H397">
        <v>1</v>
      </c>
      <c r="I397">
        <v>196.75</v>
      </c>
      <c r="J397">
        <v>0.1</v>
      </c>
      <c r="K397" s="3">
        <v>19.674999999999983</v>
      </c>
      <c r="L397">
        <v>177.07500000000002</v>
      </c>
      <c r="M397">
        <v>20.925000000000011</v>
      </c>
      <c r="N397" t="str">
        <f>"P. "&amp;(Sales__tbl[[#This Row],[product_id]]&amp;"."&amp;TEXT(Sales__tbl[[#This Row],[selling_price]],"0.00"))</f>
        <v>P. P.id11.196.75</v>
      </c>
    </row>
    <row r="398" spans="1:14" x14ac:dyDescent="0.25">
      <c r="A398">
        <v>397</v>
      </c>
      <c r="B398" s="9" t="str">
        <f>TEXT(Sales__tbl[[#This Row],[date]],"MM")</f>
        <v>03</v>
      </c>
      <c r="C398" s="13">
        <v>45365</v>
      </c>
      <c r="D398" t="str">
        <f>_xlfn.XLOOKUP(Sales__tbl[[#This Row],[customer_id]],customer_tbl[customer_id],customer_tbl[Branch_id],"Not found")</f>
        <v>E01</v>
      </c>
      <c r="E398" t="s">
        <v>1011</v>
      </c>
      <c r="F398" t="s">
        <v>958</v>
      </c>
      <c r="G398" t="s">
        <v>939</v>
      </c>
      <c r="H398">
        <v>1</v>
      </c>
      <c r="I398">
        <v>90.53</v>
      </c>
      <c r="J398">
        <v>0</v>
      </c>
      <c r="K398" s="3">
        <v>0</v>
      </c>
      <c r="L398">
        <v>90.53</v>
      </c>
      <c r="M398">
        <v>12.489999999999995</v>
      </c>
      <c r="N398" t="str">
        <f>"P. "&amp;(Sales__tbl[[#This Row],[product_id]]&amp;"."&amp;TEXT(Sales__tbl[[#This Row],[selling_price]],"0.00"))</f>
        <v>P. P.id03.90.53</v>
      </c>
    </row>
    <row r="399" spans="1:14" x14ac:dyDescent="0.25">
      <c r="A399">
        <v>398</v>
      </c>
      <c r="B399" s="9" t="str">
        <f>TEXT(Sales__tbl[[#This Row],[date]],"MM")</f>
        <v>03</v>
      </c>
      <c r="C399" s="13">
        <v>45366</v>
      </c>
      <c r="D399" t="str">
        <f>_xlfn.XLOOKUP(Sales__tbl[[#This Row],[customer_id]],customer_tbl[customer_id],customer_tbl[Branch_id],"Not found")</f>
        <v>E02</v>
      </c>
      <c r="E399" t="s">
        <v>988</v>
      </c>
      <c r="F399" t="s">
        <v>962</v>
      </c>
      <c r="G399" t="s">
        <v>941</v>
      </c>
      <c r="H399">
        <v>1</v>
      </c>
      <c r="I399">
        <v>259.11</v>
      </c>
      <c r="J399">
        <v>0.1</v>
      </c>
      <c r="K399" s="3">
        <v>25.911000000000001</v>
      </c>
      <c r="L399">
        <v>233.19900000000001</v>
      </c>
      <c r="M399">
        <v>59.299000000000007</v>
      </c>
      <c r="N399" t="str">
        <f>"P. "&amp;(Sales__tbl[[#This Row],[product_id]]&amp;"."&amp;TEXT(Sales__tbl[[#This Row],[selling_price]],"0.00"))</f>
        <v>P. P.id07.259.11</v>
      </c>
    </row>
    <row r="400" spans="1:14" x14ac:dyDescent="0.25">
      <c r="A400">
        <v>399</v>
      </c>
      <c r="B400" s="9" t="str">
        <f>TEXT(Sales__tbl[[#This Row],[date]],"MM")</f>
        <v>03</v>
      </c>
      <c r="C400" s="13">
        <v>45367</v>
      </c>
      <c r="D400" t="str">
        <f>_xlfn.XLOOKUP(Sales__tbl[[#This Row],[customer_id]],customer_tbl[customer_id],customer_tbl[Branch_id],"Not found")</f>
        <v>C01</v>
      </c>
      <c r="E400" t="s">
        <v>1152</v>
      </c>
      <c r="F400" t="s">
        <v>962</v>
      </c>
      <c r="G400" t="s">
        <v>941</v>
      </c>
      <c r="H400">
        <v>1</v>
      </c>
      <c r="I400">
        <v>259.11</v>
      </c>
      <c r="J400">
        <v>0.1</v>
      </c>
      <c r="K400" s="3">
        <v>25.911000000000001</v>
      </c>
      <c r="L400">
        <v>233.19900000000001</v>
      </c>
      <c r="M400">
        <v>59.299000000000007</v>
      </c>
      <c r="N400" t="str">
        <f>"P. "&amp;(Sales__tbl[[#This Row],[product_id]]&amp;"."&amp;TEXT(Sales__tbl[[#This Row],[selling_price]],"0.00"))</f>
        <v>P. P.id07.259.11</v>
      </c>
    </row>
    <row r="401" spans="1:14" x14ac:dyDescent="0.25">
      <c r="A401">
        <v>400</v>
      </c>
      <c r="B401" s="9" t="str">
        <f>TEXT(Sales__tbl[[#This Row],[date]],"MM")</f>
        <v>03</v>
      </c>
      <c r="C401" s="13">
        <v>45368</v>
      </c>
      <c r="D401" t="str">
        <f>_xlfn.XLOOKUP(Sales__tbl[[#This Row],[customer_id]],customer_tbl[customer_id],customer_tbl[Branch_id],"Not found")</f>
        <v>E01</v>
      </c>
      <c r="E401" t="s">
        <v>1028</v>
      </c>
      <c r="F401" t="s">
        <v>959</v>
      </c>
      <c r="G401" t="s">
        <v>837</v>
      </c>
      <c r="H401">
        <v>3</v>
      </c>
      <c r="I401">
        <v>11.53</v>
      </c>
      <c r="J401">
        <v>0</v>
      </c>
      <c r="K401" s="3">
        <v>0</v>
      </c>
      <c r="L401">
        <v>34.589999999999996</v>
      </c>
      <c r="M401">
        <v>7.5599999999999952</v>
      </c>
      <c r="N401" t="str">
        <f>"P. "&amp;(Sales__tbl[[#This Row],[product_id]]&amp;"."&amp;TEXT(Sales__tbl[[#This Row],[selling_price]],"0.00"))</f>
        <v>P. P.id04.11.53</v>
      </c>
    </row>
    <row r="402" spans="1:14" x14ac:dyDescent="0.25">
      <c r="A402">
        <v>401</v>
      </c>
      <c r="B402" s="9" t="str">
        <f>TEXT(Sales__tbl[[#This Row],[date]],"MM")</f>
        <v>03</v>
      </c>
      <c r="C402" s="13">
        <v>45369</v>
      </c>
      <c r="D402" t="str">
        <f>_xlfn.XLOOKUP(Sales__tbl[[#This Row],[customer_id]],customer_tbl[customer_id],customer_tbl[Branch_id],"Not found")</f>
        <v>N01</v>
      </c>
      <c r="E402" t="s">
        <v>1170</v>
      </c>
      <c r="F402" t="s">
        <v>965</v>
      </c>
      <c r="G402" t="s">
        <v>847</v>
      </c>
      <c r="H402">
        <v>1</v>
      </c>
      <c r="I402">
        <v>168</v>
      </c>
      <c r="J402">
        <v>0.1</v>
      </c>
      <c r="K402" s="3">
        <v>16.799999999999983</v>
      </c>
      <c r="L402">
        <v>151.20000000000002</v>
      </c>
      <c r="M402">
        <v>29.460000000000022</v>
      </c>
      <c r="N402" t="str">
        <f>"P. "&amp;(Sales__tbl[[#This Row],[product_id]]&amp;"."&amp;TEXT(Sales__tbl[[#This Row],[selling_price]],"0.00"))</f>
        <v>P. P.id10.168.00</v>
      </c>
    </row>
    <row r="403" spans="1:14" x14ac:dyDescent="0.25">
      <c r="A403">
        <v>402</v>
      </c>
      <c r="B403" s="9" t="str">
        <f>TEXT(Sales__tbl[[#This Row],[date]],"MM")</f>
        <v>03</v>
      </c>
      <c r="C403" s="13">
        <v>45370</v>
      </c>
      <c r="D403" t="str">
        <f>_xlfn.XLOOKUP(Sales__tbl[[#This Row],[customer_id]],customer_tbl[customer_id],customer_tbl[Branch_id],"Not found")</f>
        <v>E02</v>
      </c>
      <c r="E403" t="s">
        <v>1002</v>
      </c>
      <c r="F403" t="s">
        <v>967</v>
      </c>
      <c r="G403" t="s">
        <v>872</v>
      </c>
      <c r="H403">
        <v>1</v>
      </c>
      <c r="I403">
        <v>91.73</v>
      </c>
      <c r="J403">
        <v>0</v>
      </c>
      <c r="K403" s="3">
        <v>0</v>
      </c>
      <c r="L403">
        <v>91.73</v>
      </c>
      <c r="M403">
        <v>15.290000000000006</v>
      </c>
      <c r="N403" t="str">
        <f>"P. "&amp;(Sales__tbl[[#This Row],[product_id]]&amp;"."&amp;TEXT(Sales__tbl[[#This Row],[selling_price]],"0.00"))</f>
        <v>P. P.id12.91.73</v>
      </c>
    </row>
    <row r="404" spans="1:14" x14ac:dyDescent="0.25">
      <c r="A404">
        <v>403</v>
      </c>
      <c r="B404" s="9" t="str">
        <f>TEXT(Sales__tbl[[#This Row],[date]],"MM")</f>
        <v>03</v>
      </c>
      <c r="C404" s="13">
        <v>45371</v>
      </c>
      <c r="D404" t="str">
        <f>_xlfn.XLOOKUP(Sales__tbl[[#This Row],[customer_id]],customer_tbl[customer_id],customer_tbl[Branch_id],"Not found")</f>
        <v>E02</v>
      </c>
      <c r="E404" t="s">
        <v>988</v>
      </c>
      <c r="F404" t="s">
        <v>961</v>
      </c>
      <c r="G404" t="s">
        <v>940</v>
      </c>
      <c r="H404">
        <v>1</v>
      </c>
      <c r="I404">
        <v>66.790000000000006</v>
      </c>
      <c r="J404">
        <v>0</v>
      </c>
      <c r="K404" s="3">
        <v>0</v>
      </c>
      <c r="L404">
        <v>66.790000000000006</v>
      </c>
      <c r="M404">
        <v>22.850000000000009</v>
      </c>
      <c r="N404" t="str">
        <f>"P. "&amp;(Sales__tbl[[#This Row],[product_id]]&amp;"."&amp;TEXT(Sales__tbl[[#This Row],[selling_price]],"0.00"))</f>
        <v>P. P.id06.66.79</v>
      </c>
    </row>
    <row r="405" spans="1:14" x14ac:dyDescent="0.25">
      <c r="A405">
        <v>404</v>
      </c>
      <c r="B405" s="9" t="str">
        <f>TEXT(Sales__tbl[[#This Row],[date]],"MM")</f>
        <v>03</v>
      </c>
      <c r="C405" s="13">
        <v>45372</v>
      </c>
      <c r="D405" t="str">
        <f>_xlfn.XLOOKUP(Sales__tbl[[#This Row],[customer_id]],customer_tbl[customer_id],customer_tbl[Branch_id],"Not found")</f>
        <v>S01</v>
      </c>
      <c r="E405" t="s">
        <v>1076</v>
      </c>
      <c r="F405" t="s">
        <v>956</v>
      </c>
      <c r="G405" t="s">
        <v>831</v>
      </c>
      <c r="H405">
        <v>2</v>
      </c>
      <c r="I405">
        <v>303.48</v>
      </c>
      <c r="J405">
        <v>0.2</v>
      </c>
      <c r="K405" s="3">
        <v>121.392</v>
      </c>
      <c r="L405">
        <v>485.56800000000004</v>
      </c>
      <c r="M405">
        <v>98.968000000000018</v>
      </c>
      <c r="N405" t="str">
        <f>"P. "&amp;(Sales__tbl[[#This Row],[product_id]]&amp;"."&amp;TEXT(Sales__tbl[[#This Row],[selling_price]],"0.00"))</f>
        <v>P. P.id01.303.48</v>
      </c>
    </row>
    <row r="406" spans="1:14" x14ac:dyDescent="0.25">
      <c r="A406">
        <v>405</v>
      </c>
      <c r="B406" s="9" t="str">
        <f>TEXT(Sales__tbl[[#This Row],[date]],"MM")</f>
        <v>03</v>
      </c>
      <c r="C406" s="13">
        <v>45373</v>
      </c>
      <c r="D406" t="str">
        <f>_xlfn.XLOOKUP(Sales__tbl[[#This Row],[customer_id]],customer_tbl[customer_id],customer_tbl[Branch_id],"Not found")</f>
        <v>N02</v>
      </c>
      <c r="E406" t="s">
        <v>1142</v>
      </c>
      <c r="F406" t="s">
        <v>966</v>
      </c>
      <c r="G406" t="s">
        <v>851</v>
      </c>
      <c r="H406">
        <v>4</v>
      </c>
      <c r="I406">
        <v>196.75</v>
      </c>
      <c r="J406">
        <v>0.2</v>
      </c>
      <c r="K406" s="3">
        <v>157.39999999999998</v>
      </c>
      <c r="L406">
        <v>629.6</v>
      </c>
      <c r="M406">
        <v>5</v>
      </c>
      <c r="N406" t="str">
        <f>"P. "&amp;(Sales__tbl[[#This Row],[product_id]]&amp;"."&amp;TEXT(Sales__tbl[[#This Row],[selling_price]],"0.00"))</f>
        <v>P. P.id11.196.75</v>
      </c>
    </row>
    <row r="407" spans="1:14" x14ac:dyDescent="0.25">
      <c r="A407">
        <v>406</v>
      </c>
      <c r="B407" s="9" t="str">
        <f>TEXT(Sales__tbl[[#This Row],[date]],"MM")</f>
        <v>03</v>
      </c>
      <c r="C407" s="13">
        <v>45374</v>
      </c>
      <c r="D407" t="str">
        <f>_xlfn.XLOOKUP(Sales__tbl[[#This Row],[customer_id]],customer_tbl[customer_id],customer_tbl[Branch_id],"Not found")</f>
        <v>N02</v>
      </c>
      <c r="E407" t="s">
        <v>1141</v>
      </c>
      <c r="F407" t="s">
        <v>958</v>
      </c>
      <c r="G407" t="s">
        <v>939</v>
      </c>
      <c r="H407">
        <v>1</v>
      </c>
      <c r="I407">
        <v>90.53</v>
      </c>
      <c r="J407">
        <v>0</v>
      </c>
      <c r="K407" s="3">
        <v>0</v>
      </c>
      <c r="L407">
        <v>90.53</v>
      </c>
      <c r="M407">
        <v>12.489999999999995</v>
      </c>
      <c r="N407" t="str">
        <f>"P. "&amp;(Sales__tbl[[#This Row],[product_id]]&amp;"."&amp;TEXT(Sales__tbl[[#This Row],[selling_price]],"0.00"))</f>
        <v>P. P.id03.90.53</v>
      </c>
    </row>
    <row r="408" spans="1:14" x14ac:dyDescent="0.25">
      <c r="A408">
        <v>407</v>
      </c>
      <c r="B408" s="9" t="str">
        <f>TEXT(Sales__tbl[[#This Row],[date]],"MM")</f>
        <v>03</v>
      </c>
      <c r="C408" s="13">
        <v>45375</v>
      </c>
      <c r="D408" t="str">
        <f>_xlfn.XLOOKUP(Sales__tbl[[#This Row],[customer_id]],customer_tbl[customer_id],customer_tbl[Branch_id],"Not found")</f>
        <v>C02</v>
      </c>
      <c r="E408" t="s">
        <v>1009</v>
      </c>
      <c r="F408" t="s">
        <v>960</v>
      </c>
      <c r="G408" t="s">
        <v>839</v>
      </c>
      <c r="H408">
        <v>1</v>
      </c>
      <c r="I408">
        <v>165.45</v>
      </c>
      <c r="J408">
        <v>0.1</v>
      </c>
      <c r="K408" s="3">
        <v>16.544999999999987</v>
      </c>
      <c r="L408">
        <v>148.905</v>
      </c>
      <c r="M408">
        <v>25.435000000000002</v>
      </c>
      <c r="N408" t="str">
        <f>"P. "&amp;(Sales__tbl[[#This Row],[product_id]]&amp;"."&amp;TEXT(Sales__tbl[[#This Row],[selling_price]],"0.00"))</f>
        <v>P. P.id05.165.45</v>
      </c>
    </row>
    <row r="409" spans="1:14" x14ac:dyDescent="0.25">
      <c r="A409">
        <v>408</v>
      </c>
      <c r="B409" s="9" t="str">
        <f>TEXT(Sales__tbl[[#This Row],[date]],"MM")</f>
        <v>03</v>
      </c>
      <c r="C409" s="13">
        <v>45376</v>
      </c>
      <c r="D409" t="str">
        <f>_xlfn.XLOOKUP(Sales__tbl[[#This Row],[customer_id]],customer_tbl[customer_id],customer_tbl[Branch_id],"Not found")</f>
        <v>E01</v>
      </c>
      <c r="E409" t="s">
        <v>1028</v>
      </c>
      <c r="F409" t="s">
        <v>967</v>
      </c>
      <c r="G409" t="s">
        <v>872</v>
      </c>
      <c r="H409">
        <v>2</v>
      </c>
      <c r="I409">
        <v>91.73</v>
      </c>
      <c r="J409">
        <v>0.1</v>
      </c>
      <c r="K409" s="3">
        <v>18.346000000000004</v>
      </c>
      <c r="L409">
        <v>165.114</v>
      </c>
      <c r="M409">
        <v>12.234000000000009</v>
      </c>
      <c r="N409" t="str">
        <f>"P. "&amp;(Sales__tbl[[#This Row],[product_id]]&amp;"."&amp;TEXT(Sales__tbl[[#This Row],[selling_price]],"0.00"))</f>
        <v>P. P.id12.91.73</v>
      </c>
    </row>
    <row r="410" spans="1:14" x14ac:dyDescent="0.25">
      <c r="A410">
        <v>409</v>
      </c>
      <c r="B410" s="9" t="str">
        <f>TEXT(Sales__tbl[[#This Row],[date]],"MM")</f>
        <v>03</v>
      </c>
      <c r="C410" s="13">
        <v>45377</v>
      </c>
      <c r="D410" t="str">
        <f>_xlfn.XLOOKUP(Sales__tbl[[#This Row],[customer_id]],customer_tbl[customer_id],customer_tbl[Branch_id],"Not found")</f>
        <v>E01</v>
      </c>
      <c r="E410" t="s">
        <v>1032</v>
      </c>
      <c r="F410" t="s">
        <v>964</v>
      </c>
      <c r="G410" t="s">
        <v>943</v>
      </c>
      <c r="H410">
        <v>1</v>
      </c>
      <c r="I410">
        <v>190.58</v>
      </c>
      <c r="J410">
        <v>0.1</v>
      </c>
      <c r="K410" s="3">
        <v>19.057999999999993</v>
      </c>
      <c r="L410">
        <v>171.52200000000002</v>
      </c>
      <c r="M410">
        <v>23.782000000000011</v>
      </c>
      <c r="N410" t="str">
        <f>"P. "&amp;(Sales__tbl[[#This Row],[product_id]]&amp;"."&amp;TEXT(Sales__tbl[[#This Row],[selling_price]],"0.00"))</f>
        <v>P. P.id09.190.58</v>
      </c>
    </row>
    <row r="411" spans="1:14" x14ac:dyDescent="0.25">
      <c r="A411">
        <v>410</v>
      </c>
      <c r="B411" s="9" t="str">
        <f>TEXT(Sales__tbl[[#This Row],[date]],"MM")</f>
        <v>03</v>
      </c>
      <c r="C411" s="13">
        <v>45378</v>
      </c>
      <c r="D411" t="str">
        <f>_xlfn.XLOOKUP(Sales__tbl[[#This Row],[customer_id]],customer_tbl[customer_id],customer_tbl[Branch_id],"Not found")</f>
        <v>C02</v>
      </c>
      <c r="E411" t="s">
        <v>1083</v>
      </c>
      <c r="F411" t="s">
        <v>966</v>
      </c>
      <c r="G411" t="s">
        <v>851</v>
      </c>
      <c r="H411">
        <v>1</v>
      </c>
      <c r="I411">
        <v>196.75</v>
      </c>
      <c r="J411">
        <v>0.1</v>
      </c>
      <c r="K411" s="3">
        <v>19.674999999999983</v>
      </c>
      <c r="L411">
        <v>177.07500000000002</v>
      </c>
      <c r="M411">
        <v>20.925000000000011</v>
      </c>
      <c r="N411" t="str">
        <f>"P. "&amp;(Sales__tbl[[#This Row],[product_id]]&amp;"."&amp;TEXT(Sales__tbl[[#This Row],[selling_price]],"0.00"))</f>
        <v>P. P.id11.196.75</v>
      </c>
    </row>
    <row r="412" spans="1:14" x14ac:dyDescent="0.25">
      <c r="A412">
        <v>411</v>
      </c>
      <c r="B412" s="9" t="str">
        <f>TEXT(Sales__tbl[[#This Row],[date]],"MM")</f>
        <v>03</v>
      </c>
      <c r="C412" s="13">
        <v>45379</v>
      </c>
      <c r="D412" t="str">
        <f>_xlfn.XLOOKUP(Sales__tbl[[#This Row],[customer_id]],customer_tbl[customer_id],customer_tbl[Branch_id],"Not found")</f>
        <v>S02</v>
      </c>
      <c r="E412" t="s">
        <v>1053</v>
      </c>
      <c r="F412" t="s">
        <v>962</v>
      </c>
      <c r="G412" t="s">
        <v>941</v>
      </c>
      <c r="H412">
        <v>1</v>
      </c>
      <c r="I412">
        <v>259.11</v>
      </c>
      <c r="J412">
        <v>0.1</v>
      </c>
      <c r="K412" s="3">
        <v>25.911000000000001</v>
      </c>
      <c r="L412">
        <v>233.19900000000001</v>
      </c>
      <c r="M412">
        <v>59.299000000000007</v>
      </c>
      <c r="N412" t="str">
        <f>"P. "&amp;(Sales__tbl[[#This Row],[product_id]]&amp;"."&amp;TEXT(Sales__tbl[[#This Row],[selling_price]],"0.00"))</f>
        <v>P. P.id07.259.11</v>
      </c>
    </row>
    <row r="413" spans="1:14" x14ac:dyDescent="0.25">
      <c r="A413">
        <v>412</v>
      </c>
      <c r="B413" s="9" t="str">
        <f>TEXT(Sales__tbl[[#This Row],[date]],"MM")</f>
        <v>03</v>
      </c>
      <c r="C413" s="13">
        <v>45380</v>
      </c>
      <c r="D413" t="str">
        <f>_xlfn.XLOOKUP(Sales__tbl[[#This Row],[customer_id]],customer_tbl[customer_id],customer_tbl[Branch_id],"Not found")</f>
        <v>E02</v>
      </c>
      <c r="E413" t="s">
        <v>1128</v>
      </c>
      <c r="F413" t="s">
        <v>957</v>
      </c>
      <c r="G413" t="s">
        <v>833</v>
      </c>
      <c r="H413">
        <v>1</v>
      </c>
      <c r="I413">
        <v>55.26</v>
      </c>
      <c r="J413">
        <v>0</v>
      </c>
      <c r="K413" s="3">
        <v>0</v>
      </c>
      <c r="L413">
        <v>55.26</v>
      </c>
      <c r="M413">
        <v>19.839999999999996</v>
      </c>
      <c r="N413" t="str">
        <f>"P. "&amp;(Sales__tbl[[#This Row],[product_id]]&amp;"."&amp;TEXT(Sales__tbl[[#This Row],[selling_price]],"0.00"))</f>
        <v>P. P.id02.55.26</v>
      </c>
    </row>
    <row r="414" spans="1:14" x14ac:dyDescent="0.25">
      <c r="A414">
        <v>413</v>
      </c>
      <c r="B414" s="9" t="str">
        <f>TEXT(Sales__tbl[[#This Row],[date]],"MM")</f>
        <v>03</v>
      </c>
      <c r="C414" s="13">
        <v>45381</v>
      </c>
      <c r="D414" t="str">
        <f>_xlfn.XLOOKUP(Sales__tbl[[#This Row],[customer_id]],customer_tbl[customer_id],customer_tbl[Branch_id],"Not found")</f>
        <v>E01</v>
      </c>
      <c r="E414" t="s">
        <v>1014</v>
      </c>
      <c r="F414" t="s">
        <v>956</v>
      </c>
      <c r="G414" t="s">
        <v>831</v>
      </c>
      <c r="H414">
        <v>1</v>
      </c>
      <c r="I414">
        <v>303.48</v>
      </c>
      <c r="J414">
        <v>0.15</v>
      </c>
      <c r="K414" s="3">
        <v>45.521999999999991</v>
      </c>
      <c r="L414">
        <v>257.95800000000003</v>
      </c>
      <c r="M414">
        <v>64.658000000000015</v>
      </c>
      <c r="N414" t="str">
        <f>"P. "&amp;(Sales__tbl[[#This Row],[product_id]]&amp;"."&amp;TEXT(Sales__tbl[[#This Row],[selling_price]],"0.00"))</f>
        <v>P. P.id01.303.48</v>
      </c>
    </row>
    <row r="415" spans="1:14" x14ac:dyDescent="0.25">
      <c r="A415">
        <v>414</v>
      </c>
      <c r="B415" s="9" t="str">
        <f>TEXT(Sales__tbl[[#This Row],[date]],"MM")</f>
        <v>03</v>
      </c>
      <c r="C415" s="13">
        <v>45382</v>
      </c>
      <c r="D415" t="str">
        <f>_xlfn.XLOOKUP(Sales__tbl[[#This Row],[customer_id]],customer_tbl[customer_id],customer_tbl[Branch_id],"Not found")</f>
        <v>S02</v>
      </c>
      <c r="E415" t="s">
        <v>1153</v>
      </c>
      <c r="F415" t="s">
        <v>965</v>
      </c>
      <c r="G415" t="s">
        <v>847</v>
      </c>
      <c r="H415">
        <v>3</v>
      </c>
      <c r="I415">
        <v>168</v>
      </c>
      <c r="J415">
        <v>0.2</v>
      </c>
      <c r="K415" s="3">
        <v>100.79999999999995</v>
      </c>
      <c r="L415">
        <v>403.20000000000005</v>
      </c>
      <c r="M415">
        <v>37.980000000000075</v>
      </c>
      <c r="N415" t="str">
        <f>"P. "&amp;(Sales__tbl[[#This Row],[product_id]]&amp;"."&amp;TEXT(Sales__tbl[[#This Row],[selling_price]],"0.00"))</f>
        <v>P. P.id10.168.00</v>
      </c>
    </row>
    <row r="416" spans="1:14" x14ac:dyDescent="0.25">
      <c r="A416">
        <v>415</v>
      </c>
      <c r="B416" s="9" t="str">
        <f>TEXT(Sales__tbl[[#This Row],[date]],"MM")</f>
        <v>04</v>
      </c>
      <c r="C416" s="13">
        <v>45383</v>
      </c>
      <c r="D416" t="str">
        <f>_xlfn.XLOOKUP(Sales__tbl[[#This Row],[customer_id]],customer_tbl[customer_id],customer_tbl[Branch_id],"Not found")</f>
        <v>E01</v>
      </c>
      <c r="E416" t="s">
        <v>1116</v>
      </c>
      <c r="F416" t="s">
        <v>961</v>
      </c>
      <c r="G416" t="s">
        <v>940</v>
      </c>
      <c r="H416">
        <v>1</v>
      </c>
      <c r="I416">
        <v>66.790000000000006</v>
      </c>
      <c r="J416">
        <v>0</v>
      </c>
      <c r="K416" s="3">
        <v>0</v>
      </c>
      <c r="L416">
        <v>66.790000000000006</v>
      </c>
      <c r="M416">
        <v>22.850000000000009</v>
      </c>
      <c r="N416" t="str">
        <f>"P. "&amp;(Sales__tbl[[#This Row],[product_id]]&amp;"."&amp;TEXT(Sales__tbl[[#This Row],[selling_price]],"0.00"))</f>
        <v>P. P.id06.66.79</v>
      </c>
    </row>
    <row r="417" spans="1:14" x14ac:dyDescent="0.25">
      <c r="A417">
        <v>416</v>
      </c>
      <c r="B417" s="9" t="str">
        <f>TEXT(Sales__tbl[[#This Row],[date]],"MM")</f>
        <v>04</v>
      </c>
      <c r="C417" s="13">
        <v>45384</v>
      </c>
      <c r="D417" t="str">
        <f>_xlfn.XLOOKUP(Sales__tbl[[#This Row],[customer_id]],customer_tbl[customer_id],customer_tbl[Branch_id],"Not found")</f>
        <v>C01</v>
      </c>
      <c r="E417" t="s">
        <v>1044</v>
      </c>
      <c r="F417" t="s">
        <v>964</v>
      </c>
      <c r="G417" t="s">
        <v>943</v>
      </c>
      <c r="H417">
        <v>3</v>
      </c>
      <c r="I417">
        <v>190.58</v>
      </c>
      <c r="J417">
        <v>0.2</v>
      </c>
      <c r="K417" s="3">
        <v>114.34799999999996</v>
      </c>
      <c r="L417">
        <v>457.39200000000005</v>
      </c>
      <c r="M417">
        <v>14.172000000000025</v>
      </c>
      <c r="N417" t="str">
        <f>"P. "&amp;(Sales__tbl[[#This Row],[product_id]]&amp;"."&amp;TEXT(Sales__tbl[[#This Row],[selling_price]],"0.00"))</f>
        <v>P. P.id09.190.58</v>
      </c>
    </row>
    <row r="418" spans="1:14" x14ac:dyDescent="0.25">
      <c r="A418">
        <v>417</v>
      </c>
      <c r="B418" s="9" t="str">
        <f>TEXT(Sales__tbl[[#This Row],[date]],"MM")</f>
        <v>04</v>
      </c>
      <c r="C418" s="13">
        <v>45385</v>
      </c>
      <c r="D418" t="str">
        <f>_xlfn.XLOOKUP(Sales__tbl[[#This Row],[customer_id]],customer_tbl[customer_id],customer_tbl[Branch_id],"Not found")</f>
        <v>N01</v>
      </c>
      <c r="E418" t="s">
        <v>1020</v>
      </c>
      <c r="F418" t="s">
        <v>959</v>
      </c>
      <c r="G418" t="s">
        <v>837</v>
      </c>
      <c r="H418">
        <v>1</v>
      </c>
      <c r="I418">
        <v>11.53</v>
      </c>
      <c r="J418">
        <v>0</v>
      </c>
      <c r="K418" s="3">
        <v>0</v>
      </c>
      <c r="L418">
        <v>11.53</v>
      </c>
      <c r="M418">
        <v>2.5199999999999996</v>
      </c>
      <c r="N418" t="str">
        <f>"P. "&amp;(Sales__tbl[[#This Row],[product_id]]&amp;"."&amp;TEXT(Sales__tbl[[#This Row],[selling_price]],"0.00"))</f>
        <v>P. P.id04.11.53</v>
      </c>
    </row>
    <row r="419" spans="1:14" x14ac:dyDescent="0.25">
      <c r="A419">
        <v>418</v>
      </c>
      <c r="B419" s="9" t="str">
        <f>TEXT(Sales__tbl[[#This Row],[date]],"MM")</f>
        <v>04</v>
      </c>
      <c r="C419" s="13">
        <v>45386</v>
      </c>
      <c r="D419" t="str">
        <f>_xlfn.XLOOKUP(Sales__tbl[[#This Row],[customer_id]],customer_tbl[customer_id],customer_tbl[Branch_id],"Not found")</f>
        <v>C01</v>
      </c>
      <c r="E419" t="s">
        <v>1056</v>
      </c>
      <c r="F419" t="s">
        <v>964</v>
      </c>
      <c r="G419" t="s">
        <v>943</v>
      </c>
      <c r="H419">
        <v>2</v>
      </c>
      <c r="I419">
        <v>190.58</v>
      </c>
      <c r="J419">
        <v>0.15</v>
      </c>
      <c r="K419" s="3">
        <v>57.174000000000035</v>
      </c>
      <c r="L419">
        <v>323.98599999999999</v>
      </c>
      <c r="M419">
        <v>28.505999999999972</v>
      </c>
      <c r="N419" t="str">
        <f>"P. "&amp;(Sales__tbl[[#This Row],[product_id]]&amp;"."&amp;TEXT(Sales__tbl[[#This Row],[selling_price]],"0.00"))</f>
        <v>P. P.id09.190.58</v>
      </c>
    </row>
    <row r="420" spans="1:14" x14ac:dyDescent="0.25">
      <c r="A420">
        <v>419</v>
      </c>
      <c r="B420" s="9" t="str">
        <f>TEXT(Sales__tbl[[#This Row],[date]],"MM")</f>
        <v>04</v>
      </c>
      <c r="C420" s="13">
        <v>45387</v>
      </c>
      <c r="D420" t="str">
        <f>_xlfn.XLOOKUP(Sales__tbl[[#This Row],[customer_id]],customer_tbl[customer_id],customer_tbl[Branch_id],"Not found")</f>
        <v>C02</v>
      </c>
      <c r="E420" t="s">
        <v>1184</v>
      </c>
      <c r="F420" t="s">
        <v>965</v>
      </c>
      <c r="G420" t="s">
        <v>847</v>
      </c>
      <c r="H420">
        <v>4</v>
      </c>
      <c r="I420">
        <v>168</v>
      </c>
      <c r="J420">
        <v>0.2</v>
      </c>
      <c r="K420" s="3">
        <v>134.39999999999998</v>
      </c>
      <c r="L420">
        <v>537.6</v>
      </c>
      <c r="M420">
        <v>50.640000000000043</v>
      </c>
      <c r="N420" t="str">
        <f>"P. "&amp;(Sales__tbl[[#This Row],[product_id]]&amp;"."&amp;TEXT(Sales__tbl[[#This Row],[selling_price]],"0.00"))</f>
        <v>P. P.id10.168.00</v>
      </c>
    </row>
    <row r="421" spans="1:14" x14ac:dyDescent="0.25">
      <c r="A421">
        <v>420</v>
      </c>
      <c r="B421" s="9" t="str">
        <f>TEXT(Sales__tbl[[#This Row],[date]],"MM")</f>
        <v>04</v>
      </c>
      <c r="C421" s="13">
        <v>45388</v>
      </c>
      <c r="D421" t="str">
        <f>_xlfn.XLOOKUP(Sales__tbl[[#This Row],[customer_id]],customer_tbl[customer_id],customer_tbl[Branch_id],"Not found")</f>
        <v>S02</v>
      </c>
      <c r="E421" t="s">
        <v>1153</v>
      </c>
      <c r="F421" t="s">
        <v>962</v>
      </c>
      <c r="G421" t="s">
        <v>941</v>
      </c>
      <c r="H421">
        <v>1</v>
      </c>
      <c r="I421">
        <v>259.11</v>
      </c>
      <c r="J421">
        <v>0.1</v>
      </c>
      <c r="K421" s="3">
        <v>25.911000000000001</v>
      </c>
      <c r="L421">
        <v>233.19900000000001</v>
      </c>
      <c r="M421">
        <v>59.299000000000007</v>
      </c>
      <c r="N421" t="str">
        <f>"P. "&amp;(Sales__tbl[[#This Row],[product_id]]&amp;"."&amp;TEXT(Sales__tbl[[#This Row],[selling_price]],"0.00"))</f>
        <v>P. P.id07.259.11</v>
      </c>
    </row>
    <row r="422" spans="1:14" x14ac:dyDescent="0.25">
      <c r="A422">
        <v>421</v>
      </c>
      <c r="B422" s="9" t="str">
        <f>TEXT(Sales__tbl[[#This Row],[date]],"MM")</f>
        <v>04</v>
      </c>
      <c r="C422" s="13">
        <v>45389</v>
      </c>
      <c r="D422" t="str">
        <f>_xlfn.XLOOKUP(Sales__tbl[[#This Row],[customer_id]],customer_tbl[customer_id],customer_tbl[Branch_id],"Not found")</f>
        <v>S02</v>
      </c>
      <c r="E422" t="s">
        <v>1132</v>
      </c>
      <c r="F422" t="s">
        <v>962</v>
      </c>
      <c r="G422" t="s">
        <v>941</v>
      </c>
      <c r="H422">
        <v>1</v>
      </c>
      <c r="I422">
        <v>259.11</v>
      </c>
      <c r="J422">
        <v>0.1</v>
      </c>
      <c r="K422" s="3">
        <v>25.911000000000001</v>
      </c>
      <c r="L422">
        <v>233.19900000000001</v>
      </c>
      <c r="M422">
        <v>59.299000000000007</v>
      </c>
      <c r="N422" t="str">
        <f>"P. "&amp;(Sales__tbl[[#This Row],[product_id]]&amp;"."&amp;TEXT(Sales__tbl[[#This Row],[selling_price]],"0.00"))</f>
        <v>P. P.id07.259.11</v>
      </c>
    </row>
    <row r="423" spans="1:14" x14ac:dyDescent="0.25">
      <c r="A423">
        <v>422</v>
      </c>
      <c r="B423" s="9" t="str">
        <f>TEXT(Sales__tbl[[#This Row],[date]],"MM")</f>
        <v>04</v>
      </c>
      <c r="C423" s="13">
        <v>45390</v>
      </c>
      <c r="D423" t="str">
        <f>_xlfn.XLOOKUP(Sales__tbl[[#This Row],[customer_id]],customer_tbl[customer_id],customer_tbl[Branch_id],"Not found")</f>
        <v>N02</v>
      </c>
      <c r="E423" t="s">
        <v>1038</v>
      </c>
      <c r="F423" t="s">
        <v>956</v>
      </c>
      <c r="G423" t="s">
        <v>831</v>
      </c>
      <c r="H423">
        <v>1</v>
      </c>
      <c r="I423">
        <v>303.48</v>
      </c>
      <c r="J423">
        <v>0.15</v>
      </c>
      <c r="K423" s="3">
        <v>45.521999999999991</v>
      </c>
      <c r="L423">
        <v>257.95800000000003</v>
      </c>
      <c r="M423">
        <v>64.658000000000015</v>
      </c>
      <c r="N423" t="str">
        <f>"P. "&amp;(Sales__tbl[[#This Row],[product_id]]&amp;"."&amp;TEXT(Sales__tbl[[#This Row],[selling_price]],"0.00"))</f>
        <v>P. P.id01.303.48</v>
      </c>
    </row>
    <row r="424" spans="1:14" x14ac:dyDescent="0.25">
      <c r="A424">
        <v>423</v>
      </c>
      <c r="B424" s="9" t="str">
        <f>TEXT(Sales__tbl[[#This Row],[date]],"MM")</f>
        <v>04</v>
      </c>
      <c r="C424" s="13">
        <v>45391</v>
      </c>
      <c r="D424" t="str">
        <f>_xlfn.XLOOKUP(Sales__tbl[[#This Row],[customer_id]],customer_tbl[customer_id],customer_tbl[Branch_id],"Not found")</f>
        <v>N01</v>
      </c>
      <c r="E424" t="s">
        <v>1052</v>
      </c>
      <c r="F424" t="s">
        <v>961</v>
      </c>
      <c r="G424" t="s">
        <v>940</v>
      </c>
      <c r="H424">
        <v>2</v>
      </c>
      <c r="I424">
        <v>66.790000000000006</v>
      </c>
      <c r="J424">
        <v>0</v>
      </c>
      <c r="K424" s="3">
        <v>0</v>
      </c>
      <c r="L424">
        <v>133.58000000000001</v>
      </c>
      <c r="M424">
        <v>45.700000000000017</v>
      </c>
      <c r="N424" t="str">
        <f>"P. "&amp;(Sales__tbl[[#This Row],[product_id]]&amp;"."&amp;TEXT(Sales__tbl[[#This Row],[selling_price]],"0.00"))</f>
        <v>P. P.id06.66.79</v>
      </c>
    </row>
    <row r="425" spans="1:14" x14ac:dyDescent="0.25">
      <c r="A425">
        <v>424</v>
      </c>
      <c r="B425" s="9" t="str">
        <f>TEXT(Sales__tbl[[#This Row],[date]],"MM")</f>
        <v>04</v>
      </c>
      <c r="C425" s="13">
        <v>45392</v>
      </c>
      <c r="D425" t="str">
        <f>_xlfn.XLOOKUP(Sales__tbl[[#This Row],[customer_id]],customer_tbl[customer_id],customer_tbl[Branch_id],"Not found")</f>
        <v>E02</v>
      </c>
      <c r="E425" t="s">
        <v>1126</v>
      </c>
      <c r="F425" t="s">
        <v>959</v>
      </c>
      <c r="G425" t="s">
        <v>837</v>
      </c>
      <c r="H425">
        <v>1</v>
      </c>
      <c r="I425">
        <v>11.53</v>
      </c>
      <c r="J425">
        <v>0</v>
      </c>
      <c r="K425" s="3">
        <v>0</v>
      </c>
      <c r="L425">
        <v>11.53</v>
      </c>
      <c r="M425">
        <v>2.5199999999999996</v>
      </c>
      <c r="N425" t="str">
        <f>"P. "&amp;(Sales__tbl[[#This Row],[product_id]]&amp;"."&amp;TEXT(Sales__tbl[[#This Row],[selling_price]],"0.00"))</f>
        <v>P. P.id04.11.53</v>
      </c>
    </row>
    <row r="426" spans="1:14" x14ac:dyDescent="0.25">
      <c r="A426">
        <v>425</v>
      </c>
      <c r="B426" s="9" t="str">
        <f>TEXT(Sales__tbl[[#This Row],[date]],"MM")</f>
        <v>04</v>
      </c>
      <c r="C426" s="13">
        <v>45393</v>
      </c>
      <c r="D426" t="str">
        <f>_xlfn.XLOOKUP(Sales__tbl[[#This Row],[customer_id]],customer_tbl[customer_id],customer_tbl[Branch_id],"Not found")</f>
        <v>C01</v>
      </c>
      <c r="E426" t="s">
        <v>1129</v>
      </c>
      <c r="F426" t="s">
        <v>959</v>
      </c>
      <c r="G426" t="s">
        <v>837</v>
      </c>
      <c r="H426">
        <v>2</v>
      </c>
      <c r="I426">
        <v>11.53</v>
      </c>
      <c r="J426">
        <v>0</v>
      </c>
      <c r="K426" s="3">
        <v>0</v>
      </c>
      <c r="L426">
        <v>23.06</v>
      </c>
      <c r="M426">
        <v>5.0399999999999991</v>
      </c>
      <c r="N426" t="str">
        <f>"P. "&amp;(Sales__tbl[[#This Row],[product_id]]&amp;"."&amp;TEXT(Sales__tbl[[#This Row],[selling_price]],"0.00"))</f>
        <v>P. P.id04.11.53</v>
      </c>
    </row>
    <row r="427" spans="1:14" x14ac:dyDescent="0.25">
      <c r="A427">
        <v>426</v>
      </c>
      <c r="B427" s="9" t="str">
        <f>TEXT(Sales__tbl[[#This Row],[date]],"MM")</f>
        <v>04</v>
      </c>
      <c r="C427" s="13">
        <v>45394</v>
      </c>
      <c r="D427" t="str">
        <f>_xlfn.XLOOKUP(Sales__tbl[[#This Row],[customer_id]],customer_tbl[customer_id],customer_tbl[Branch_id],"Not found")</f>
        <v>S02</v>
      </c>
      <c r="E427" t="s">
        <v>1092</v>
      </c>
      <c r="F427" t="s">
        <v>967</v>
      </c>
      <c r="G427" t="s">
        <v>872</v>
      </c>
      <c r="H427">
        <v>2</v>
      </c>
      <c r="I427">
        <v>91.73</v>
      </c>
      <c r="J427">
        <v>0.1</v>
      </c>
      <c r="K427" s="3">
        <v>18.346000000000004</v>
      </c>
      <c r="L427">
        <v>165.114</v>
      </c>
      <c r="M427">
        <v>12.234000000000009</v>
      </c>
      <c r="N427" t="str">
        <f>"P. "&amp;(Sales__tbl[[#This Row],[product_id]]&amp;"."&amp;TEXT(Sales__tbl[[#This Row],[selling_price]],"0.00"))</f>
        <v>P. P.id12.91.73</v>
      </c>
    </row>
    <row r="428" spans="1:14" x14ac:dyDescent="0.25">
      <c r="A428">
        <v>427</v>
      </c>
      <c r="B428" s="9" t="str">
        <f>TEXT(Sales__tbl[[#This Row],[date]],"MM")</f>
        <v>04</v>
      </c>
      <c r="C428" s="13">
        <v>45395</v>
      </c>
      <c r="D428" t="str">
        <f>_xlfn.XLOOKUP(Sales__tbl[[#This Row],[customer_id]],customer_tbl[customer_id],customer_tbl[Branch_id],"Not found")</f>
        <v>E01</v>
      </c>
      <c r="E428" t="s">
        <v>1074</v>
      </c>
      <c r="F428" t="s">
        <v>960</v>
      </c>
      <c r="G428" t="s">
        <v>839</v>
      </c>
      <c r="H428">
        <v>3</v>
      </c>
      <c r="I428">
        <v>165.45</v>
      </c>
      <c r="J428">
        <v>0.2</v>
      </c>
      <c r="K428" s="3">
        <v>99.269999999999982</v>
      </c>
      <c r="L428">
        <v>397.08</v>
      </c>
      <c r="M428">
        <v>26.670000000000016</v>
      </c>
      <c r="N428" t="str">
        <f>"P. "&amp;(Sales__tbl[[#This Row],[product_id]]&amp;"."&amp;TEXT(Sales__tbl[[#This Row],[selling_price]],"0.00"))</f>
        <v>P. P.id05.165.45</v>
      </c>
    </row>
    <row r="429" spans="1:14" x14ac:dyDescent="0.25">
      <c r="A429">
        <v>428</v>
      </c>
      <c r="B429" s="9" t="str">
        <f>TEXT(Sales__tbl[[#This Row],[date]],"MM")</f>
        <v>04</v>
      </c>
      <c r="C429" s="13">
        <v>45396</v>
      </c>
      <c r="D429" t="str">
        <f>_xlfn.XLOOKUP(Sales__tbl[[#This Row],[customer_id]],customer_tbl[customer_id],customer_tbl[Branch_id],"Not found")</f>
        <v>E02</v>
      </c>
      <c r="E429" t="s">
        <v>1156</v>
      </c>
      <c r="F429" t="s">
        <v>956</v>
      </c>
      <c r="G429" t="s">
        <v>831</v>
      </c>
      <c r="H429">
        <v>2</v>
      </c>
      <c r="I429">
        <v>303.48</v>
      </c>
      <c r="J429">
        <v>0.2</v>
      </c>
      <c r="K429" s="3">
        <v>121.392</v>
      </c>
      <c r="L429">
        <v>485.56800000000004</v>
      </c>
      <c r="M429">
        <v>98.968000000000018</v>
      </c>
      <c r="N429" t="str">
        <f>"P. "&amp;(Sales__tbl[[#This Row],[product_id]]&amp;"."&amp;TEXT(Sales__tbl[[#This Row],[selling_price]],"0.00"))</f>
        <v>P. P.id01.303.48</v>
      </c>
    </row>
    <row r="430" spans="1:14" x14ac:dyDescent="0.25">
      <c r="A430">
        <v>429</v>
      </c>
      <c r="B430" s="9" t="str">
        <f>TEXT(Sales__tbl[[#This Row],[date]],"MM")</f>
        <v>04</v>
      </c>
      <c r="C430" s="13">
        <v>45397</v>
      </c>
      <c r="D430" t="str">
        <f>_xlfn.XLOOKUP(Sales__tbl[[#This Row],[customer_id]],customer_tbl[customer_id],customer_tbl[Branch_id],"Not found")</f>
        <v>E02</v>
      </c>
      <c r="E430" t="s">
        <v>1119</v>
      </c>
      <c r="F430" t="s">
        <v>962</v>
      </c>
      <c r="G430" t="s">
        <v>941</v>
      </c>
      <c r="H430">
        <v>1</v>
      </c>
      <c r="I430">
        <v>259.11</v>
      </c>
      <c r="J430">
        <v>0.1</v>
      </c>
      <c r="K430" s="3">
        <v>25.911000000000001</v>
      </c>
      <c r="L430">
        <v>233.19900000000001</v>
      </c>
      <c r="M430">
        <v>59.299000000000007</v>
      </c>
      <c r="N430" t="str">
        <f>"P. "&amp;(Sales__tbl[[#This Row],[product_id]]&amp;"."&amp;TEXT(Sales__tbl[[#This Row],[selling_price]],"0.00"))</f>
        <v>P. P.id07.259.11</v>
      </c>
    </row>
    <row r="431" spans="1:14" x14ac:dyDescent="0.25">
      <c r="A431">
        <v>430</v>
      </c>
      <c r="B431" s="9" t="str">
        <f>TEXT(Sales__tbl[[#This Row],[date]],"MM")</f>
        <v>04</v>
      </c>
      <c r="C431" s="13">
        <v>45398</v>
      </c>
      <c r="D431" t="str">
        <f>_xlfn.XLOOKUP(Sales__tbl[[#This Row],[customer_id]],customer_tbl[customer_id],customer_tbl[Branch_id],"Not found")</f>
        <v>C01</v>
      </c>
      <c r="E431" t="s">
        <v>1185</v>
      </c>
      <c r="F431" t="s">
        <v>957</v>
      </c>
      <c r="G431" t="s">
        <v>833</v>
      </c>
      <c r="H431">
        <v>1</v>
      </c>
      <c r="I431">
        <v>55.26</v>
      </c>
      <c r="J431">
        <v>0</v>
      </c>
      <c r="K431" s="3">
        <v>0</v>
      </c>
      <c r="L431">
        <v>55.26</v>
      </c>
      <c r="M431">
        <v>19.839999999999996</v>
      </c>
      <c r="N431" t="str">
        <f>"P. "&amp;(Sales__tbl[[#This Row],[product_id]]&amp;"."&amp;TEXT(Sales__tbl[[#This Row],[selling_price]],"0.00"))</f>
        <v>P. P.id02.55.26</v>
      </c>
    </row>
    <row r="432" spans="1:14" x14ac:dyDescent="0.25">
      <c r="A432">
        <v>431</v>
      </c>
      <c r="B432" s="9" t="str">
        <f>TEXT(Sales__tbl[[#This Row],[date]],"MM")</f>
        <v>04</v>
      </c>
      <c r="C432" s="13">
        <v>45399</v>
      </c>
      <c r="D432" t="str">
        <f>_xlfn.XLOOKUP(Sales__tbl[[#This Row],[customer_id]],customer_tbl[customer_id],customer_tbl[Branch_id],"Not found")</f>
        <v>S01</v>
      </c>
      <c r="E432" t="s">
        <v>1160</v>
      </c>
      <c r="F432" t="s">
        <v>966</v>
      </c>
      <c r="G432" t="s">
        <v>851</v>
      </c>
      <c r="H432">
        <v>1</v>
      </c>
      <c r="I432">
        <v>196.75</v>
      </c>
      <c r="J432">
        <v>0.1</v>
      </c>
      <c r="K432" s="3">
        <v>19.674999999999983</v>
      </c>
      <c r="L432">
        <v>177.07500000000002</v>
      </c>
      <c r="M432">
        <v>20.925000000000011</v>
      </c>
      <c r="N432" t="str">
        <f>"P. "&amp;(Sales__tbl[[#This Row],[product_id]]&amp;"."&amp;TEXT(Sales__tbl[[#This Row],[selling_price]],"0.00"))</f>
        <v>P. P.id11.196.75</v>
      </c>
    </row>
    <row r="433" spans="1:14" x14ac:dyDescent="0.25">
      <c r="A433">
        <v>432</v>
      </c>
      <c r="B433" s="9" t="str">
        <f>TEXT(Sales__tbl[[#This Row],[date]],"MM")</f>
        <v>04</v>
      </c>
      <c r="C433" s="13">
        <v>45400</v>
      </c>
      <c r="D433" t="str">
        <f>_xlfn.XLOOKUP(Sales__tbl[[#This Row],[customer_id]],customer_tbl[customer_id],customer_tbl[Branch_id],"Not found")</f>
        <v>E02</v>
      </c>
      <c r="E433" t="s">
        <v>1068</v>
      </c>
      <c r="F433" t="s">
        <v>966</v>
      </c>
      <c r="G433" t="s">
        <v>851</v>
      </c>
      <c r="H433">
        <v>1</v>
      </c>
      <c r="I433">
        <v>196.75</v>
      </c>
      <c r="J433">
        <v>0.1</v>
      </c>
      <c r="K433" s="3">
        <v>19.674999999999983</v>
      </c>
      <c r="L433">
        <v>177.07500000000002</v>
      </c>
      <c r="M433">
        <v>20.925000000000011</v>
      </c>
      <c r="N433" t="str">
        <f>"P. "&amp;(Sales__tbl[[#This Row],[product_id]]&amp;"."&amp;TEXT(Sales__tbl[[#This Row],[selling_price]],"0.00"))</f>
        <v>P. P.id11.196.75</v>
      </c>
    </row>
    <row r="434" spans="1:14" x14ac:dyDescent="0.25">
      <c r="A434">
        <v>433</v>
      </c>
      <c r="B434" s="9" t="str">
        <f>TEXT(Sales__tbl[[#This Row],[date]],"MM")</f>
        <v>04</v>
      </c>
      <c r="C434" s="13">
        <v>45401</v>
      </c>
      <c r="D434" t="str">
        <f>_xlfn.XLOOKUP(Sales__tbl[[#This Row],[customer_id]],customer_tbl[customer_id],customer_tbl[Branch_id],"Not found")</f>
        <v>N01</v>
      </c>
      <c r="E434" t="s">
        <v>1069</v>
      </c>
      <c r="F434" t="s">
        <v>966</v>
      </c>
      <c r="G434" t="s">
        <v>851</v>
      </c>
      <c r="H434">
        <v>1</v>
      </c>
      <c r="I434">
        <v>196.75</v>
      </c>
      <c r="J434">
        <v>0.1</v>
      </c>
      <c r="K434" s="3">
        <v>19.674999999999983</v>
      </c>
      <c r="L434">
        <v>177.07500000000002</v>
      </c>
      <c r="M434">
        <v>20.925000000000011</v>
      </c>
      <c r="N434" t="str">
        <f>"P. "&amp;(Sales__tbl[[#This Row],[product_id]]&amp;"."&amp;TEXT(Sales__tbl[[#This Row],[selling_price]],"0.00"))</f>
        <v>P. P.id11.196.75</v>
      </c>
    </row>
    <row r="435" spans="1:14" x14ac:dyDescent="0.25">
      <c r="A435">
        <v>434</v>
      </c>
      <c r="B435" s="9" t="str">
        <f>TEXT(Sales__tbl[[#This Row],[date]],"MM")</f>
        <v>04</v>
      </c>
      <c r="C435" s="13">
        <v>45402</v>
      </c>
      <c r="D435" t="str">
        <f>_xlfn.XLOOKUP(Sales__tbl[[#This Row],[customer_id]],customer_tbl[customer_id],customer_tbl[Branch_id],"Not found")</f>
        <v>W01</v>
      </c>
      <c r="E435" t="s">
        <v>1033</v>
      </c>
      <c r="F435" t="s">
        <v>958</v>
      </c>
      <c r="G435" t="s">
        <v>939</v>
      </c>
      <c r="H435">
        <v>1</v>
      </c>
      <c r="I435">
        <v>90.53</v>
      </c>
      <c r="J435">
        <v>0</v>
      </c>
      <c r="K435" s="3">
        <v>0</v>
      </c>
      <c r="L435">
        <v>90.53</v>
      </c>
      <c r="M435">
        <v>12.489999999999995</v>
      </c>
      <c r="N435" t="str">
        <f>"P. "&amp;(Sales__tbl[[#This Row],[product_id]]&amp;"."&amp;TEXT(Sales__tbl[[#This Row],[selling_price]],"0.00"))</f>
        <v>P. P.id03.90.53</v>
      </c>
    </row>
    <row r="436" spans="1:14" x14ac:dyDescent="0.25">
      <c r="A436">
        <v>435</v>
      </c>
      <c r="B436" s="9" t="str">
        <f>TEXT(Sales__tbl[[#This Row],[date]],"MM")</f>
        <v>04</v>
      </c>
      <c r="C436" s="13">
        <v>45403</v>
      </c>
      <c r="D436" t="str">
        <f>_xlfn.XLOOKUP(Sales__tbl[[#This Row],[customer_id]],customer_tbl[customer_id],customer_tbl[Branch_id],"Not found")</f>
        <v>W01</v>
      </c>
      <c r="E436" t="s">
        <v>1179</v>
      </c>
      <c r="F436" t="s">
        <v>965</v>
      </c>
      <c r="G436" t="s">
        <v>847</v>
      </c>
      <c r="H436">
        <v>2</v>
      </c>
      <c r="I436">
        <v>168</v>
      </c>
      <c r="J436">
        <v>0.15</v>
      </c>
      <c r="K436" s="3">
        <v>50.400000000000034</v>
      </c>
      <c r="L436">
        <v>285.59999999999997</v>
      </c>
      <c r="M436">
        <v>42.119999999999976</v>
      </c>
      <c r="N436" t="str">
        <f>"P. "&amp;(Sales__tbl[[#This Row],[product_id]]&amp;"."&amp;TEXT(Sales__tbl[[#This Row],[selling_price]],"0.00"))</f>
        <v>P. P.id10.168.00</v>
      </c>
    </row>
    <row r="437" spans="1:14" x14ac:dyDescent="0.25">
      <c r="A437">
        <v>436</v>
      </c>
      <c r="B437" s="9" t="str">
        <f>TEXT(Sales__tbl[[#This Row],[date]],"MM")</f>
        <v>04</v>
      </c>
      <c r="C437" s="13">
        <v>45404</v>
      </c>
      <c r="D437" t="str">
        <f>_xlfn.XLOOKUP(Sales__tbl[[#This Row],[customer_id]],customer_tbl[customer_id],customer_tbl[Branch_id],"Not found")</f>
        <v>N01</v>
      </c>
      <c r="E437" t="s">
        <v>1030</v>
      </c>
      <c r="F437" t="s">
        <v>962</v>
      </c>
      <c r="G437" t="s">
        <v>941</v>
      </c>
      <c r="H437">
        <v>1</v>
      </c>
      <c r="I437">
        <v>259.11</v>
      </c>
      <c r="J437">
        <v>0.1</v>
      </c>
      <c r="K437" s="3">
        <v>25.911000000000001</v>
      </c>
      <c r="L437">
        <v>233.19900000000001</v>
      </c>
      <c r="M437">
        <v>59.299000000000007</v>
      </c>
      <c r="N437" t="str">
        <f>"P. "&amp;(Sales__tbl[[#This Row],[product_id]]&amp;"."&amp;TEXT(Sales__tbl[[#This Row],[selling_price]],"0.00"))</f>
        <v>P. P.id07.259.11</v>
      </c>
    </row>
    <row r="438" spans="1:14" x14ac:dyDescent="0.25">
      <c r="A438">
        <v>437</v>
      </c>
      <c r="B438" s="9" t="str">
        <f>TEXT(Sales__tbl[[#This Row],[date]],"MM")</f>
        <v>04</v>
      </c>
      <c r="C438" s="13">
        <v>45405</v>
      </c>
      <c r="D438" t="str">
        <f>_xlfn.XLOOKUP(Sales__tbl[[#This Row],[customer_id]],customer_tbl[customer_id],customer_tbl[Branch_id],"Not found")</f>
        <v>C02</v>
      </c>
      <c r="E438" t="s">
        <v>1075</v>
      </c>
      <c r="F438" t="s">
        <v>960</v>
      </c>
      <c r="G438" t="s">
        <v>839</v>
      </c>
      <c r="H438">
        <v>1</v>
      </c>
      <c r="I438">
        <v>165.45</v>
      </c>
      <c r="J438">
        <v>0.1</v>
      </c>
      <c r="K438" s="3">
        <v>16.544999999999987</v>
      </c>
      <c r="L438">
        <v>148.905</v>
      </c>
      <c r="M438">
        <v>25.435000000000002</v>
      </c>
      <c r="N438" t="str">
        <f>"P. "&amp;(Sales__tbl[[#This Row],[product_id]]&amp;"."&amp;TEXT(Sales__tbl[[#This Row],[selling_price]],"0.00"))</f>
        <v>P. P.id05.165.45</v>
      </c>
    </row>
    <row r="439" spans="1:14" x14ac:dyDescent="0.25">
      <c r="A439">
        <v>438</v>
      </c>
      <c r="B439" s="9" t="str">
        <f>TEXT(Sales__tbl[[#This Row],[date]],"MM")</f>
        <v>04</v>
      </c>
      <c r="C439" s="13">
        <v>45406</v>
      </c>
      <c r="D439" t="str">
        <f>_xlfn.XLOOKUP(Sales__tbl[[#This Row],[customer_id]],customer_tbl[customer_id],customer_tbl[Branch_id],"Not found")</f>
        <v>E01</v>
      </c>
      <c r="E439" t="s">
        <v>1074</v>
      </c>
      <c r="F439" t="s">
        <v>957</v>
      </c>
      <c r="G439" t="s">
        <v>833</v>
      </c>
      <c r="H439">
        <v>1</v>
      </c>
      <c r="I439">
        <v>55.26</v>
      </c>
      <c r="J439">
        <v>0</v>
      </c>
      <c r="K439" s="3">
        <v>0</v>
      </c>
      <c r="L439">
        <v>55.26</v>
      </c>
      <c r="M439">
        <v>19.839999999999996</v>
      </c>
      <c r="N439" t="str">
        <f>"P. "&amp;(Sales__tbl[[#This Row],[product_id]]&amp;"."&amp;TEXT(Sales__tbl[[#This Row],[selling_price]],"0.00"))</f>
        <v>P. P.id02.55.26</v>
      </c>
    </row>
    <row r="440" spans="1:14" x14ac:dyDescent="0.25">
      <c r="A440">
        <v>439</v>
      </c>
      <c r="B440" s="9" t="str">
        <f>TEXT(Sales__tbl[[#This Row],[date]],"MM")</f>
        <v>04</v>
      </c>
      <c r="C440" s="13">
        <v>45407</v>
      </c>
      <c r="D440" t="str">
        <f>_xlfn.XLOOKUP(Sales__tbl[[#This Row],[customer_id]],customer_tbl[customer_id],customer_tbl[Branch_id],"Not found")</f>
        <v>S01</v>
      </c>
      <c r="E440" t="s">
        <v>1021</v>
      </c>
      <c r="F440" t="s">
        <v>958</v>
      </c>
      <c r="G440" t="s">
        <v>939</v>
      </c>
      <c r="H440">
        <v>1</v>
      </c>
      <c r="I440">
        <v>90.53</v>
      </c>
      <c r="J440">
        <v>0</v>
      </c>
      <c r="K440" s="3">
        <v>0</v>
      </c>
      <c r="L440">
        <v>90.53</v>
      </c>
      <c r="M440">
        <v>12.489999999999995</v>
      </c>
      <c r="N440" t="str">
        <f>"P. "&amp;(Sales__tbl[[#This Row],[product_id]]&amp;"."&amp;TEXT(Sales__tbl[[#This Row],[selling_price]],"0.00"))</f>
        <v>P. P.id03.90.53</v>
      </c>
    </row>
    <row r="441" spans="1:14" x14ac:dyDescent="0.25">
      <c r="A441">
        <v>440</v>
      </c>
      <c r="B441" s="9" t="str">
        <f>TEXT(Sales__tbl[[#This Row],[date]],"MM")</f>
        <v>04</v>
      </c>
      <c r="C441" s="13">
        <v>45408</v>
      </c>
      <c r="D441" t="str">
        <f>_xlfn.XLOOKUP(Sales__tbl[[#This Row],[customer_id]],customer_tbl[customer_id],customer_tbl[Branch_id],"Not found")</f>
        <v>S02</v>
      </c>
      <c r="E441" t="s">
        <v>1112</v>
      </c>
      <c r="F441" t="s">
        <v>961</v>
      </c>
      <c r="G441" t="s">
        <v>940</v>
      </c>
      <c r="H441">
        <v>1</v>
      </c>
      <c r="I441">
        <v>66.790000000000006</v>
      </c>
      <c r="J441">
        <v>0</v>
      </c>
      <c r="K441" s="3">
        <v>0</v>
      </c>
      <c r="L441">
        <v>66.790000000000006</v>
      </c>
      <c r="M441">
        <v>22.850000000000009</v>
      </c>
      <c r="N441" t="str">
        <f>"P. "&amp;(Sales__tbl[[#This Row],[product_id]]&amp;"."&amp;TEXT(Sales__tbl[[#This Row],[selling_price]],"0.00"))</f>
        <v>P. P.id06.66.79</v>
      </c>
    </row>
    <row r="442" spans="1:14" x14ac:dyDescent="0.25">
      <c r="A442">
        <v>441</v>
      </c>
      <c r="B442" s="9" t="str">
        <f>TEXT(Sales__tbl[[#This Row],[date]],"MM")</f>
        <v>04</v>
      </c>
      <c r="C442" s="13">
        <v>45409</v>
      </c>
      <c r="D442" t="str">
        <f>_xlfn.XLOOKUP(Sales__tbl[[#This Row],[customer_id]],customer_tbl[customer_id],customer_tbl[Branch_id],"Not found")</f>
        <v>C01</v>
      </c>
      <c r="E442" t="s">
        <v>1097</v>
      </c>
      <c r="F442" t="s">
        <v>960</v>
      </c>
      <c r="G442" t="s">
        <v>839</v>
      </c>
      <c r="H442">
        <v>3</v>
      </c>
      <c r="I442">
        <v>165.45</v>
      </c>
      <c r="J442">
        <v>0.2</v>
      </c>
      <c r="K442" s="3">
        <v>99.269999999999982</v>
      </c>
      <c r="L442">
        <v>397.08</v>
      </c>
      <c r="M442">
        <v>26.670000000000016</v>
      </c>
      <c r="N442" t="str">
        <f>"P. "&amp;(Sales__tbl[[#This Row],[product_id]]&amp;"."&amp;TEXT(Sales__tbl[[#This Row],[selling_price]],"0.00"))</f>
        <v>P. P.id05.165.45</v>
      </c>
    </row>
    <row r="443" spans="1:14" x14ac:dyDescent="0.25">
      <c r="A443">
        <v>442</v>
      </c>
      <c r="B443" s="9" t="str">
        <f>TEXT(Sales__tbl[[#This Row],[date]],"MM")</f>
        <v>04</v>
      </c>
      <c r="C443" s="13">
        <v>45410</v>
      </c>
      <c r="D443" t="str">
        <f>_xlfn.XLOOKUP(Sales__tbl[[#This Row],[customer_id]],customer_tbl[customer_id],customer_tbl[Branch_id],"Not found")</f>
        <v>S02</v>
      </c>
      <c r="E443" t="s">
        <v>984</v>
      </c>
      <c r="F443" t="s">
        <v>966</v>
      </c>
      <c r="G443" t="s">
        <v>851</v>
      </c>
      <c r="H443">
        <v>2</v>
      </c>
      <c r="I443">
        <v>196.75</v>
      </c>
      <c r="J443">
        <v>0.15</v>
      </c>
      <c r="K443" s="3">
        <v>59.025000000000034</v>
      </c>
      <c r="L443">
        <v>334.47499999999997</v>
      </c>
      <c r="M443">
        <v>22.174999999999955</v>
      </c>
      <c r="N443" t="str">
        <f>"P. "&amp;(Sales__tbl[[#This Row],[product_id]]&amp;"."&amp;TEXT(Sales__tbl[[#This Row],[selling_price]],"0.00"))</f>
        <v>P. P.id11.196.75</v>
      </c>
    </row>
    <row r="444" spans="1:14" x14ac:dyDescent="0.25">
      <c r="A444">
        <v>443</v>
      </c>
      <c r="B444" s="9" t="str">
        <f>TEXT(Sales__tbl[[#This Row],[date]],"MM")</f>
        <v>04</v>
      </c>
      <c r="C444" s="13">
        <v>45411</v>
      </c>
      <c r="D444" t="str">
        <f>_xlfn.XLOOKUP(Sales__tbl[[#This Row],[customer_id]],customer_tbl[customer_id],customer_tbl[Branch_id],"Not found")</f>
        <v>W01</v>
      </c>
      <c r="E444" t="s">
        <v>1082</v>
      </c>
      <c r="F444" t="s">
        <v>967</v>
      </c>
      <c r="G444" t="s">
        <v>872</v>
      </c>
      <c r="H444">
        <v>1</v>
      </c>
      <c r="I444">
        <v>91.73</v>
      </c>
      <c r="J444">
        <v>0</v>
      </c>
      <c r="K444" s="3">
        <v>0</v>
      </c>
      <c r="L444">
        <v>91.73</v>
      </c>
      <c r="M444">
        <v>15.290000000000006</v>
      </c>
      <c r="N444" t="str">
        <f>"P. "&amp;(Sales__tbl[[#This Row],[product_id]]&amp;"."&amp;TEXT(Sales__tbl[[#This Row],[selling_price]],"0.00"))</f>
        <v>P. P.id12.91.73</v>
      </c>
    </row>
    <row r="445" spans="1:14" x14ac:dyDescent="0.25">
      <c r="A445">
        <v>444</v>
      </c>
      <c r="B445" s="9" t="str">
        <f>TEXT(Sales__tbl[[#This Row],[date]],"MM")</f>
        <v>04</v>
      </c>
      <c r="C445" s="13">
        <v>45412</v>
      </c>
      <c r="D445" t="str">
        <f>_xlfn.XLOOKUP(Sales__tbl[[#This Row],[customer_id]],customer_tbl[customer_id],customer_tbl[Branch_id],"Not found")</f>
        <v>W02</v>
      </c>
      <c r="E445" t="s">
        <v>1186</v>
      </c>
      <c r="F445" t="s">
        <v>959</v>
      </c>
      <c r="G445" t="s">
        <v>837</v>
      </c>
      <c r="H445">
        <v>1</v>
      </c>
      <c r="I445">
        <v>11.53</v>
      </c>
      <c r="J445">
        <v>0</v>
      </c>
      <c r="K445" s="3">
        <v>0</v>
      </c>
      <c r="L445">
        <v>11.53</v>
      </c>
      <c r="M445">
        <v>2.5199999999999996</v>
      </c>
      <c r="N445" t="str">
        <f>"P. "&amp;(Sales__tbl[[#This Row],[product_id]]&amp;"."&amp;TEXT(Sales__tbl[[#This Row],[selling_price]],"0.00"))</f>
        <v>P. P.id04.11.53</v>
      </c>
    </row>
    <row r="446" spans="1:14" x14ac:dyDescent="0.25">
      <c r="A446">
        <v>445</v>
      </c>
      <c r="B446" s="9" t="str">
        <f>TEXT(Sales__tbl[[#This Row],[date]],"MM")</f>
        <v>05</v>
      </c>
      <c r="C446" s="13">
        <v>45413</v>
      </c>
      <c r="D446" t="str">
        <f>_xlfn.XLOOKUP(Sales__tbl[[#This Row],[customer_id]],customer_tbl[customer_id],customer_tbl[Branch_id],"Not found")</f>
        <v>N02</v>
      </c>
      <c r="E446" t="s">
        <v>1015</v>
      </c>
      <c r="F446" t="s">
        <v>965</v>
      </c>
      <c r="G446" t="s">
        <v>847</v>
      </c>
      <c r="H446">
        <v>4</v>
      </c>
      <c r="I446">
        <v>168</v>
      </c>
      <c r="J446">
        <v>0.2</v>
      </c>
      <c r="K446" s="3">
        <v>134.39999999999998</v>
      </c>
      <c r="L446">
        <v>537.6</v>
      </c>
      <c r="M446">
        <v>50.640000000000043</v>
      </c>
      <c r="N446" t="str">
        <f>"P. "&amp;(Sales__tbl[[#This Row],[product_id]]&amp;"."&amp;TEXT(Sales__tbl[[#This Row],[selling_price]],"0.00"))</f>
        <v>P. P.id10.168.00</v>
      </c>
    </row>
    <row r="447" spans="1:14" x14ac:dyDescent="0.25">
      <c r="A447">
        <v>446</v>
      </c>
      <c r="B447" s="9" t="str">
        <f>TEXT(Sales__tbl[[#This Row],[date]],"MM")</f>
        <v>05</v>
      </c>
      <c r="C447" s="13">
        <v>45414</v>
      </c>
      <c r="D447" t="str">
        <f>_xlfn.XLOOKUP(Sales__tbl[[#This Row],[customer_id]],customer_tbl[customer_id],customer_tbl[Branch_id],"Not found")</f>
        <v>C01</v>
      </c>
      <c r="E447" t="s">
        <v>1006</v>
      </c>
      <c r="F447" t="s">
        <v>963</v>
      </c>
      <c r="G447" t="s">
        <v>942</v>
      </c>
      <c r="H447">
        <v>1</v>
      </c>
      <c r="I447">
        <v>274.16000000000003</v>
      </c>
      <c r="J447">
        <v>0.1</v>
      </c>
      <c r="K447" s="3">
        <v>27.415999999999997</v>
      </c>
      <c r="L447">
        <v>246.74400000000003</v>
      </c>
      <c r="M447">
        <v>56.354000000000042</v>
      </c>
      <c r="N447" t="str">
        <f>"P. "&amp;(Sales__tbl[[#This Row],[product_id]]&amp;"."&amp;TEXT(Sales__tbl[[#This Row],[selling_price]],"0.00"))</f>
        <v>P. P.id08.274.16</v>
      </c>
    </row>
    <row r="448" spans="1:14" x14ac:dyDescent="0.25">
      <c r="A448">
        <v>447</v>
      </c>
      <c r="B448" s="9" t="str">
        <f>TEXT(Sales__tbl[[#This Row],[date]],"MM")</f>
        <v>05</v>
      </c>
      <c r="C448" s="13">
        <v>45415</v>
      </c>
      <c r="D448" t="str">
        <f>_xlfn.XLOOKUP(Sales__tbl[[#This Row],[customer_id]],customer_tbl[customer_id],customer_tbl[Branch_id],"Not found")</f>
        <v>S01</v>
      </c>
      <c r="E448" t="s">
        <v>1171</v>
      </c>
      <c r="F448" t="s">
        <v>962</v>
      </c>
      <c r="G448" t="s">
        <v>941</v>
      </c>
      <c r="H448">
        <v>1</v>
      </c>
      <c r="I448">
        <v>259.11</v>
      </c>
      <c r="J448">
        <v>0.1</v>
      </c>
      <c r="K448" s="3">
        <v>25.911000000000001</v>
      </c>
      <c r="L448">
        <v>233.19900000000001</v>
      </c>
      <c r="M448">
        <v>59.299000000000007</v>
      </c>
      <c r="N448" t="str">
        <f>"P. "&amp;(Sales__tbl[[#This Row],[product_id]]&amp;"."&amp;TEXT(Sales__tbl[[#This Row],[selling_price]],"0.00"))</f>
        <v>P. P.id07.259.11</v>
      </c>
    </row>
    <row r="449" spans="1:14" x14ac:dyDescent="0.25">
      <c r="A449">
        <v>448</v>
      </c>
      <c r="B449" s="9" t="str">
        <f>TEXT(Sales__tbl[[#This Row],[date]],"MM")</f>
        <v>05</v>
      </c>
      <c r="C449" s="13">
        <v>45416</v>
      </c>
      <c r="D449" t="str">
        <f>_xlfn.XLOOKUP(Sales__tbl[[#This Row],[customer_id]],customer_tbl[customer_id],customer_tbl[Branch_id],"Not found")</f>
        <v>S02</v>
      </c>
      <c r="E449" t="s">
        <v>1057</v>
      </c>
      <c r="F449" t="s">
        <v>958</v>
      </c>
      <c r="G449" t="s">
        <v>939</v>
      </c>
      <c r="H449">
        <v>1</v>
      </c>
      <c r="I449">
        <v>90.53</v>
      </c>
      <c r="J449">
        <v>0</v>
      </c>
      <c r="K449" s="3">
        <v>0</v>
      </c>
      <c r="L449">
        <v>90.53</v>
      </c>
      <c r="M449">
        <v>12.489999999999995</v>
      </c>
      <c r="N449" t="str">
        <f>"P. "&amp;(Sales__tbl[[#This Row],[product_id]]&amp;"."&amp;TEXT(Sales__tbl[[#This Row],[selling_price]],"0.00"))</f>
        <v>P. P.id03.90.53</v>
      </c>
    </row>
    <row r="450" spans="1:14" x14ac:dyDescent="0.25">
      <c r="A450">
        <v>449</v>
      </c>
      <c r="B450" s="9" t="str">
        <f>TEXT(Sales__tbl[[#This Row],[date]],"MM")</f>
        <v>05</v>
      </c>
      <c r="C450" s="13">
        <v>45417</v>
      </c>
      <c r="D450" t="str">
        <f>_xlfn.XLOOKUP(Sales__tbl[[#This Row],[customer_id]],customer_tbl[customer_id],customer_tbl[Branch_id],"Not found")</f>
        <v>W01</v>
      </c>
      <c r="E450" t="s">
        <v>1082</v>
      </c>
      <c r="F450" t="s">
        <v>959</v>
      </c>
      <c r="G450" t="s">
        <v>837</v>
      </c>
      <c r="H450">
        <v>1</v>
      </c>
      <c r="I450">
        <v>11.53</v>
      </c>
      <c r="J450">
        <v>0</v>
      </c>
      <c r="K450" s="3">
        <v>0</v>
      </c>
      <c r="L450">
        <v>11.53</v>
      </c>
      <c r="M450">
        <v>2.5199999999999996</v>
      </c>
      <c r="N450" t="str">
        <f>"P. "&amp;(Sales__tbl[[#This Row],[product_id]]&amp;"."&amp;TEXT(Sales__tbl[[#This Row],[selling_price]],"0.00"))</f>
        <v>P. P.id04.11.53</v>
      </c>
    </row>
    <row r="451" spans="1:14" x14ac:dyDescent="0.25">
      <c r="A451">
        <v>450</v>
      </c>
      <c r="B451" s="9" t="str">
        <f>TEXT(Sales__tbl[[#This Row],[date]],"MM")</f>
        <v>05</v>
      </c>
      <c r="C451" s="13">
        <v>45418</v>
      </c>
      <c r="D451" t="str">
        <f>_xlfn.XLOOKUP(Sales__tbl[[#This Row],[customer_id]],customer_tbl[customer_id],customer_tbl[Branch_id],"Not found")</f>
        <v>S02</v>
      </c>
      <c r="E451" t="s">
        <v>984</v>
      </c>
      <c r="F451" t="s">
        <v>958</v>
      </c>
      <c r="G451" t="s">
        <v>939</v>
      </c>
      <c r="H451">
        <v>1</v>
      </c>
      <c r="I451">
        <v>90.53</v>
      </c>
      <c r="J451">
        <v>0</v>
      </c>
      <c r="K451" s="3">
        <v>0</v>
      </c>
      <c r="L451">
        <v>90.53</v>
      </c>
      <c r="M451">
        <v>12.489999999999995</v>
      </c>
      <c r="N451" t="str">
        <f>"P. "&amp;(Sales__tbl[[#This Row],[product_id]]&amp;"."&amp;TEXT(Sales__tbl[[#This Row],[selling_price]],"0.00"))</f>
        <v>P. P.id03.90.53</v>
      </c>
    </row>
    <row r="452" spans="1:14" x14ac:dyDescent="0.25">
      <c r="A452">
        <v>451</v>
      </c>
      <c r="B452" s="9" t="str">
        <f>TEXT(Sales__tbl[[#This Row],[date]],"MM")</f>
        <v>05</v>
      </c>
      <c r="C452" s="13">
        <v>45419</v>
      </c>
      <c r="D452" t="str">
        <f>_xlfn.XLOOKUP(Sales__tbl[[#This Row],[customer_id]],customer_tbl[customer_id],customer_tbl[Branch_id],"Not found")</f>
        <v>S01</v>
      </c>
      <c r="E452" t="s">
        <v>1151</v>
      </c>
      <c r="F452" t="s">
        <v>961</v>
      </c>
      <c r="G452" t="s">
        <v>940</v>
      </c>
      <c r="H452">
        <v>1</v>
      </c>
      <c r="I452">
        <v>66.790000000000006</v>
      </c>
      <c r="J452">
        <v>0</v>
      </c>
      <c r="K452" s="3">
        <v>0</v>
      </c>
      <c r="L452">
        <v>66.790000000000006</v>
      </c>
      <c r="M452">
        <v>22.850000000000009</v>
      </c>
      <c r="N452" t="str">
        <f>"P. "&amp;(Sales__tbl[[#This Row],[product_id]]&amp;"."&amp;TEXT(Sales__tbl[[#This Row],[selling_price]],"0.00"))</f>
        <v>P. P.id06.66.79</v>
      </c>
    </row>
    <row r="453" spans="1:14" x14ac:dyDescent="0.25">
      <c r="A453">
        <v>452</v>
      </c>
      <c r="B453" s="9" t="str">
        <f>TEXT(Sales__tbl[[#This Row],[date]],"MM")</f>
        <v>05</v>
      </c>
      <c r="C453" s="13">
        <v>45420</v>
      </c>
      <c r="D453" t="str">
        <f>_xlfn.XLOOKUP(Sales__tbl[[#This Row],[customer_id]],customer_tbl[customer_id],customer_tbl[Branch_id],"Not found")</f>
        <v>S01</v>
      </c>
      <c r="E453" t="s">
        <v>1171</v>
      </c>
      <c r="F453" t="s">
        <v>965</v>
      </c>
      <c r="G453" t="s">
        <v>847</v>
      </c>
      <c r="H453">
        <v>1</v>
      </c>
      <c r="I453">
        <v>168</v>
      </c>
      <c r="J453">
        <v>0.1</v>
      </c>
      <c r="K453" s="3">
        <v>16.799999999999983</v>
      </c>
      <c r="L453">
        <v>151.20000000000002</v>
      </c>
      <c r="M453">
        <v>29.460000000000022</v>
      </c>
      <c r="N453" t="str">
        <f>"P. "&amp;(Sales__tbl[[#This Row],[product_id]]&amp;"."&amp;TEXT(Sales__tbl[[#This Row],[selling_price]],"0.00"))</f>
        <v>P. P.id10.168.00</v>
      </c>
    </row>
    <row r="454" spans="1:14" x14ac:dyDescent="0.25">
      <c r="A454">
        <v>453</v>
      </c>
      <c r="B454" s="9" t="str">
        <f>TEXT(Sales__tbl[[#This Row],[date]],"MM")</f>
        <v>05</v>
      </c>
      <c r="C454" s="13">
        <v>45421</v>
      </c>
      <c r="D454" t="str">
        <f>_xlfn.XLOOKUP(Sales__tbl[[#This Row],[customer_id]],customer_tbl[customer_id],customer_tbl[Branch_id],"Not found")</f>
        <v>S01</v>
      </c>
      <c r="E454" t="s">
        <v>1072</v>
      </c>
      <c r="F454" t="s">
        <v>960</v>
      </c>
      <c r="G454" t="s">
        <v>839</v>
      </c>
      <c r="H454">
        <v>5</v>
      </c>
      <c r="I454">
        <v>165.45</v>
      </c>
      <c r="J454">
        <v>0.2</v>
      </c>
      <c r="K454" s="3">
        <v>165.44999999999993</v>
      </c>
      <c r="L454">
        <v>661.80000000000007</v>
      </c>
      <c r="M454">
        <v>44.450000000000045</v>
      </c>
      <c r="N454" t="str">
        <f>"P. "&amp;(Sales__tbl[[#This Row],[product_id]]&amp;"."&amp;TEXT(Sales__tbl[[#This Row],[selling_price]],"0.00"))</f>
        <v>P. P.id05.165.45</v>
      </c>
    </row>
    <row r="455" spans="1:14" x14ac:dyDescent="0.25">
      <c r="A455">
        <v>454</v>
      </c>
      <c r="B455" s="9" t="str">
        <f>TEXT(Sales__tbl[[#This Row],[date]],"MM")</f>
        <v>05</v>
      </c>
      <c r="C455" s="13">
        <v>45422</v>
      </c>
      <c r="D455" t="str">
        <f>_xlfn.XLOOKUP(Sales__tbl[[#This Row],[customer_id]],customer_tbl[customer_id],customer_tbl[Branch_id],"Not found")</f>
        <v>C01</v>
      </c>
      <c r="E455" t="s">
        <v>999</v>
      </c>
      <c r="F455" t="s">
        <v>967</v>
      </c>
      <c r="G455" t="s">
        <v>872</v>
      </c>
      <c r="H455">
        <v>1</v>
      </c>
      <c r="I455">
        <v>91.73</v>
      </c>
      <c r="J455">
        <v>0</v>
      </c>
      <c r="K455" s="3">
        <v>0</v>
      </c>
      <c r="L455">
        <v>91.73</v>
      </c>
      <c r="M455">
        <v>15.290000000000006</v>
      </c>
      <c r="N455" t="str">
        <f>"P. "&amp;(Sales__tbl[[#This Row],[product_id]]&amp;"."&amp;TEXT(Sales__tbl[[#This Row],[selling_price]],"0.00"))</f>
        <v>P. P.id12.91.73</v>
      </c>
    </row>
    <row r="456" spans="1:14" x14ac:dyDescent="0.25">
      <c r="A456">
        <v>455</v>
      </c>
      <c r="B456" s="9" t="str">
        <f>TEXT(Sales__tbl[[#This Row],[date]],"MM")</f>
        <v>05</v>
      </c>
      <c r="C456" s="13">
        <v>45423</v>
      </c>
      <c r="D456" t="str">
        <f>_xlfn.XLOOKUP(Sales__tbl[[#This Row],[customer_id]],customer_tbl[customer_id],customer_tbl[Branch_id],"Not found")</f>
        <v>W01</v>
      </c>
      <c r="E456" t="s">
        <v>1059</v>
      </c>
      <c r="F456" t="s">
        <v>962</v>
      </c>
      <c r="G456" t="s">
        <v>941</v>
      </c>
      <c r="H456">
        <v>1</v>
      </c>
      <c r="I456">
        <v>259.11</v>
      </c>
      <c r="J456">
        <v>0.1</v>
      </c>
      <c r="K456" s="3">
        <v>25.911000000000001</v>
      </c>
      <c r="L456">
        <v>233.19900000000001</v>
      </c>
      <c r="M456">
        <v>59.299000000000007</v>
      </c>
      <c r="N456" t="str">
        <f>"P. "&amp;(Sales__tbl[[#This Row],[product_id]]&amp;"."&amp;TEXT(Sales__tbl[[#This Row],[selling_price]],"0.00"))</f>
        <v>P. P.id07.259.11</v>
      </c>
    </row>
    <row r="457" spans="1:14" x14ac:dyDescent="0.25">
      <c r="A457">
        <v>456</v>
      </c>
      <c r="B457" s="9" t="str">
        <f>TEXT(Sales__tbl[[#This Row],[date]],"MM")</f>
        <v>05</v>
      </c>
      <c r="C457" s="13">
        <v>45424</v>
      </c>
      <c r="D457" t="str">
        <f>_xlfn.XLOOKUP(Sales__tbl[[#This Row],[customer_id]],customer_tbl[customer_id],customer_tbl[Branch_id],"Not found")</f>
        <v>C01</v>
      </c>
      <c r="E457" t="s">
        <v>1122</v>
      </c>
      <c r="F457" t="s">
        <v>957</v>
      </c>
      <c r="G457" t="s">
        <v>833</v>
      </c>
      <c r="H457">
        <v>2</v>
      </c>
      <c r="I457">
        <v>55.26</v>
      </c>
      <c r="J457">
        <v>0</v>
      </c>
      <c r="K457" s="3">
        <v>0</v>
      </c>
      <c r="L457">
        <v>110.52</v>
      </c>
      <c r="M457">
        <v>39.679999999999993</v>
      </c>
      <c r="N457" t="str">
        <f>"P. "&amp;(Sales__tbl[[#This Row],[product_id]]&amp;"."&amp;TEXT(Sales__tbl[[#This Row],[selling_price]],"0.00"))</f>
        <v>P. P.id02.55.26</v>
      </c>
    </row>
    <row r="458" spans="1:14" x14ac:dyDescent="0.25">
      <c r="A458">
        <v>457</v>
      </c>
      <c r="B458" s="9" t="str">
        <f>TEXT(Sales__tbl[[#This Row],[date]],"MM")</f>
        <v>05</v>
      </c>
      <c r="C458" s="13">
        <v>45425</v>
      </c>
      <c r="D458" t="str">
        <f>_xlfn.XLOOKUP(Sales__tbl[[#This Row],[customer_id]],customer_tbl[customer_id],customer_tbl[Branch_id],"Not found")</f>
        <v>N01</v>
      </c>
      <c r="E458" t="s">
        <v>1025</v>
      </c>
      <c r="F458" t="s">
        <v>957</v>
      </c>
      <c r="G458" t="s">
        <v>833</v>
      </c>
      <c r="H458">
        <v>1</v>
      </c>
      <c r="I458">
        <v>55.26</v>
      </c>
      <c r="J458">
        <v>0</v>
      </c>
      <c r="K458" s="3">
        <v>0</v>
      </c>
      <c r="L458">
        <v>55.26</v>
      </c>
      <c r="M458">
        <v>19.839999999999996</v>
      </c>
      <c r="N458" t="str">
        <f>"P. "&amp;(Sales__tbl[[#This Row],[product_id]]&amp;"."&amp;TEXT(Sales__tbl[[#This Row],[selling_price]],"0.00"))</f>
        <v>P. P.id02.55.26</v>
      </c>
    </row>
    <row r="459" spans="1:14" x14ac:dyDescent="0.25">
      <c r="A459">
        <v>458</v>
      </c>
      <c r="B459" s="9" t="str">
        <f>TEXT(Sales__tbl[[#This Row],[date]],"MM")</f>
        <v>05</v>
      </c>
      <c r="C459" s="13">
        <v>45426</v>
      </c>
      <c r="D459" t="str">
        <f>_xlfn.XLOOKUP(Sales__tbl[[#This Row],[customer_id]],customer_tbl[customer_id],customer_tbl[Branch_id],"Not found")</f>
        <v>E01</v>
      </c>
      <c r="E459" t="s">
        <v>1047</v>
      </c>
      <c r="F459" t="s">
        <v>956</v>
      </c>
      <c r="G459" t="s">
        <v>831</v>
      </c>
      <c r="H459">
        <v>1</v>
      </c>
      <c r="I459">
        <v>303.48</v>
      </c>
      <c r="J459">
        <v>0.15</v>
      </c>
      <c r="K459" s="3">
        <v>45.521999999999991</v>
      </c>
      <c r="L459">
        <v>257.95800000000003</v>
      </c>
      <c r="M459">
        <v>64.658000000000015</v>
      </c>
      <c r="N459" t="str">
        <f>"P. "&amp;(Sales__tbl[[#This Row],[product_id]]&amp;"."&amp;TEXT(Sales__tbl[[#This Row],[selling_price]],"0.00"))</f>
        <v>P. P.id01.303.48</v>
      </c>
    </row>
    <row r="460" spans="1:14" x14ac:dyDescent="0.25">
      <c r="A460">
        <v>459</v>
      </c>
      <c r="B460" s="9" t="str">
        <f>TEXT(Sales__tbl[[#This Row],[date]],"MM")</f>
        <v>05</v>
      </c>
      <c r="C460" s="13">
        <v>45427</v>
      </c>
      <c r="D460" t="str">
        <f>_xlfn.XLOOKUP(Sales__tbl[[#This Row],[customer_id]],customer_tbl[customer_id],customer_tbl[Branch_id],"Not found")</f>
        <v>S01</v>
      </c>
      <c r="E460" t="s">
        <v>1021</v>
      </c>
      <c r="F460" t="s">
        <v>960</v>
      </c>
      <c r="G460" t="s">
        <v>839</v>
      </c>
      <c r="H460">
        <v>1</v>
      </c>
      <c r="I460">
        <v>165.45</v>
      </c>
      <c r="J460">
        <v>0.1</v>
      </c>
      <c r="K460" s="3">
        <v>16.544999999999987</v>
      </c>
      <c r="L460">
        <v>148.905</v>
      </c>
      <c r="M460">
        <v>25.435000000000002</v>
      </c>
      <c r="N460" t="str">
        <f>"P. "&amp;(Sales__tbl[[#This Row],[product_id]]&amp;"."&amp;TEXT(Sales__tbl[[#This Row],[selling_price]],"0.00"))</f>
        <v>P. P.id05.165.45</v>
      </c>
    </row>
    <row r="461" spans="1:14" x14ac:dyDescent="0.25">
      <c r="A461">
        <v>460</v>
      </c>
      <c r="B461" s="9" t="str">
        <f>TEXT(Sales__tbl[[#This Row],[date]],"MM")</f>
        <v>05</v>
      </c>
      <c r="C461" s="13">
        <v>45428</v>
      </c>
      <c r="D461" t="str">
        <f>_xlfn.XLOOKUP(Sales__tbl[[#This Row],[customer_id]],customer_tbl[customer_id],customer_tbl[Branch_id],"Not found")</f>
        <v>W02</v>
      </c>
      <c r="E461" t="s">
        <v>997</v>
      </c>
      <c r="F461" t="s">
        <v>958</v>
      </c>
      <c r="G461" t="s">
        <v>939</v>
      </c>
      <c r="H461">
        <v>1</v>
      </c>
      <c r="I461">
        <v>90.53</v>
      </c>
      <c r="J461">
        <v>0</v>
      </c>
      <c r="K461" s="3">
        <v>0</v>
      </c>
      <c r="L461">
        <v>90.53</v>
      </c>
      <c r="M461">
        <v>12.489999999999995</v>
      </c>
      <c r="N461" t="str">
        <f>"P. "&amp;(Sales__tbl[[#This Row],[product_id]]&amp;"."&amp;TEXT(Sales__tbl[[#This Row],[selling_price]],"0.00"))</f>
        <v>P. P.id03.90.53</v>
      </c>
    </row>
    <row r="462" spans="1:14" x14ac:dyDescent="0.25">
      <c r="A462">
        <v>461</v>
      </c>
      <c r="B462" s="9" t="str">
        <f>TEXT(Sales__tbl[[#This Row],[date]],"MM")</f>
        <v>05</v>
      </c>
      <c r="C462" s="13">
        <v>45429</v>
      </c>
      <c r="D462" t="str">
        <f>_xlfn.XLOOKUP(Sales__tbl[[#This Row],[customer_id]],customer_tbl[customer_id],customer_tbl[Branch_id],"Not found")</f>
        <v>S01</v>
      </c>
      <c r="E462" t="s">
        <v>1151</v>
      </c>
      <c r="F462" t="s">
        <v>957</v>
      </c>
      <c r="G462" t="s">
        <v>833</v>
      </c>
      <c r="H462">
        <v>2</v>
      </c>
      <c r="I462">
        <v>55.26</v>
      </c>
      <c r="J462">
        <v>0</v>
      </c>
      <c r="K462" s="3">
        <v>0</v>
      </c>
      <c r="L462">
        <v>110.52</v>
      </c>
      <c r="M462">
        <v>39.679999999999993</v>
      </c>
      <c r="N462" t="str">
        <f>"P. "&amp;(Sales__tbl[[#This Row],[product_id]]&amp;"."&amp;TEXT(Sales__tbl[[#This Row],[selling_price]],"0.00"))</f>
        <v>P. P.id02.55.26</v>
      </c>
    </row>
    <row r="463" spans="1:14" x14ac:dyDescent="0.25">
      <c r="A463">
        <v>462</v>
      </c>
      <c r="B463" s="9" t="str">
        <f>TEXT(Sales__tbl[[#This Row],[date]],"MM")</f>
        <v>05</v>
      </c>
      <c r="C463" s="13">
        <v>45430</v>
      </c>
      <c r="D463" t="str">
        <f>_xlfn.XLOOKUP(Sales__tbl[[#This Row],[customer_id]],customer_tbl[customer_id],customer_tbl[Branch_id],"Not found")</f>
        <v>S02</v>
      </c>
      <c r="E463" t="s">
        <v>1112</v>
      </c>
      <c r="F463" t="s">
        <v>966</v>
      </c>
      <c r="G463" t="s">
        <v>851</v>
      </c>
      <c r="H463">
        <v>1</v>
      </c>
      <c r="I463">
        <v>196.75</v>
      </c>
      <c r="J463">
        <v>0.1</v>
      </c>
      <c r="K463" s="3">
        <v>19.674999999999983</v>
      </c>
      <c r="L463">
        <v>177.07500000000002</v>
      </c>
      <c r="M463">
        <v>20.925000000000011</v>
      </c>
      <c r="N463" t="str">
        <f>"P. "&amp;(Sales__tbl[[#This Row],[product_id]]&amp;"."&amp;TEXT(Sales__tbl[[#This Row],[selling_price]],"0.00"))</f>
        <v>P. P.id11.196.75</v>
      </c>
    </row>
    <row r="464" spans="1:14" x14ac:dyDescent="0.25">
      <c r="A464">
        <v>463</v>
      </c>
      <c r="B464" s="9" t="str">
        <f>TEXT(Sales__tbl[[#This Row],[date]],"MM")</f>
        <v>05</v>
      </c>
      <c r="C464" s="13">
        <v>45431</v>
      </c>
      <c r="D464" t="str">
        <f>_xlfn.XLOOKUP(Sales__tbl[[#This Row],[customer_id]],customer_tbl[customer_id],customer_tbl[Branch_id],"Not found")</f>
        <v>W01</v>
      </c>
      <c r="E464" t="s">
        <v>1121</v>
      </c>
      <c r="F464" t="s">
        <v>956</v>
      </c>
      <c r="G464" t="s">
        <v>831</v>
      </c>
      <c r="H464">
        <v>1</v>
      </c>
      <c r="I464">
        <v>303.48</v>
      </c>
      <c r="J464">
        <v>0.15</v>
      </c>
      <c r="K464" s="3">
        <v>45.521999999999991</v>
      </c>
      <c r="L464">
        <v>257.95800000000003</v>
      </c>
      <c r="M464">
        <v>64.658000000000015</v>
      </c>
      <c r="N464" t="str">
        <f>"P. "&amp;(Sales__tbl[[#This Row],[product_id]]&amp;"."&amp;TEXT(Sales__tbl[[#This Row],[selling_price]],"0.00"))</f>
        <v>P. P.id01.303.48</v>
      </c>
    </row>
    <row r="465" spans="1:14" x14ac:dyDescent="0.25">
      <c r="A465">
        <v>464</v>
      </c>
      <c r="B465" s="9" t="str">
        <f>TEXT(Sales__tbl[[#This Row],[date]],"MM")</f>
        <v>05</v>
      </c>
      <c r="C465" s="13">
        <v>45432</v>
      </c>
      <c r="D465" t="str">
        <f>_xlfn.XLOOKUP(Sales__tbl[[#This Row],[customer_id]],customer_tbl[customer_id],customer_tbl[Branch_id],"Not found")</f>
        <v>C01</v>
      </c>
      <c r="E465" t="s">
        <v>1045</v>
      </c>
      <c r="F465" t="s">
        <v>960</v>
      </c>
      <c r="G465" t="s">
        <v>839</v>
      </c>
      <c r="H465">
        <v>1</v>
      </c>
      <c r="I465">
        <v>165.45</v>
      </c>
      <c r="J465">
        <v>0.1</v>
      </c>
      <c r="K465" s="3">
        <v>16.544999999999987</v>
      </c>
      <c r="L465">
        <v>148.905</v>
      </c>
      <c r="M465">
        <v>25.435000000000002</v>
      </c>
      <c r="N465" t="str">
        <f>"P. "&amp;(Sales__tbl[[#This Row],[product_id]]&amp;"."&amp;TEXT(Sales__tbl[[#This Row],[selling_price]],"0.00"))</f>
        <v>P. P.id05.165.45</v>
      </c>
    </row>
    <row r="466" spans="1:14" x14ac:dyDescent="0.25">
      <c r="A466">
        <v>465</v>
      </c>
      <c r="B466" s="9" t="str">
        <f>TEXT(Sales__tbl[[#This Row],[date]],"MM")</f>
        <v>05</v>
      </c>
      <c r="C466" s="13">
        <v>45433</v>
      </c>
      <c r="D466" t="str">
        <f>_xlfn.XLOOKUP(Sales__tbl[[#This Row],[customer_id]],customer_tbl[customer_id],customer_tbl[Branch_id],"Not found")</f>
        <v>S01</v>
      </c>
      <c r="E466" t="s">
        <v>1042</v>
      </c>
      <c r="F466" t="s">
        <v>959</v>
      </c>
      <c r="G466" t="s">
        <v>837</v>
      </c>
      <c r="H466">
        <v>1</v>
      </c>
      <c r="I466">
        <v>11.53</v>
      </c>
      <c r="J466">
        <v>0</v>
      </c>
      <c r="K466" s="3">
        <v>0</v>
      </c>
      <c r="L466">
        <v>11.53</v>
      </c>
      <c r="M466">
        <v>2.5199999999999996</v>
      </c>
      <c r="N466" t="str">
        <f>"P. "&amp;(Sales__tbl[[#This Row],[product_id]]&amp;"."&amp;TEXT(Sales__tbl[[#This Row],[selling_price]],"0.00"))</f>
        <v>P. P.id04.11.53</v>
      </c>
    </row>
    <row r="467" spans="1:14" x14ac:dyDescent="0.25">
      <c r="A467">
        <v>466</v>
      </c>
      <c r="B467" s="9" t="str">
        <f>TEXT(Sales__tbl[[#This Row],[date]],"MM")</f>
        <v>05</v>
      </c>
      <c r="C467" s="13">
        <v>45434</v>
      </c>
      <c r="D467" t="str">
        <f>_xlfn.XLOOKUP(Sales__tbl[[#This Row],[customer_id]],customer_tbl[customer_id],customer_tbl[Branch_id],"Not found")</f>
        <v>S01</v>
      </c>
      <c r="E467" t="s">
        <v>1021</v>
      </c>
      <c r="F467" t="s">
        <v>959</v>
      </c>
      <c r="G467" t="s">
        <v>837</v>
      </c>
      <c r="H467">
        <v>1</v>
      </c>
      <c r="I467">
        <v>11.53</v>
      </c>
      <c r="J467">
        <v>0</v>
      </c>
      <c r="K467" s="3">
        <v>0</v>
      </c>
      <c r="L467">
        <v>11.53</v>
      </c>
      <c r="M467">
        <v>2.5199999999999996</v>
      </c>
      <c r="N467" t="str">
        <f>"P. "&amp;(Sales__tbl[[#This Row],[product_id]]&amp;"."&amp;TEXT(Sales__tbl[[#This Row],[selling_price]],"0.00"))</f>
        <v>P. P.id04.11.53</v>
      </c>
    </row>
    <row r="468" spans="1:14" x14ac:dyDescent="0.25">
      <c r="A468">
        <v>467</v>
      </c>
      <c r="B468" s="9" t="str">
        <f>TEXT(Sales__tbl[[#This Row],[date]],"MM")</f>
        <v>05</v>
      </c>
      <c r="C468" s="13">
        <v>45435</v>
      </c>
      <c r="D468" t="str">
        <f>_xlfn.XLOOKUP(Sales__tbl[[#This Row],[customer_id]],customer_tbl[customer_id],customer_tbl[Branch_id],"Not found")</f>
        <v>N02</v>
      </c>
      <c r="E468" t="s">
        <v>1015</v>
      </c>
      <c r="F468" t="s">
        <v>964</v>
      </c>
      <c r="G468" t="s">
        <v>943</v>
      </c>
      <c r="H468">
        <v>1</v>
      </c>
      <c r="I468">
        <v>190.58</v>
      </c>
      <c r="J468">
        <v>0.1</v>
      </c>
      <c r="K468" s="3">
        <v>19.057999999999993</v>
      </c>
      <c r="L468">
        <v>171.52200000000002</v>
      </c>
      <c r="M468">
        <v>23.782000000000011</v>
      </c>
      <c r="N468" t="str">
        <f>"P. "&amp;(Sales__tbl[[#This Row],[product_id]]&amp;"."&amp;TEXT(Sales__tbl[[#This Row],[selling_price]],"0.00"))</f>
        <v>P. P.id09.190.58</v>
      </c>
    </row>
    <row r="469" spans="1:14" x14ac:dyDescent="0.25">
      <c r="A469">
        <v>468</v>
      </c>
      <c r="B469" s="9" t="str">
        <f>TEXT(Sales__tbl[[#This Row],[date]],"MM")</f>
        <v>05</v>
      </c>
      <c r="C469" s="13">
        <v>45436</v>
      </c>
      <c r="D469" t="str">
        <f>_xlfn.XLOOKUP(Sales__tbl[[#This Row],[customer_id]],customer_tbl[customer_id],customer_tbl[Branch_id],"Not found")</f>
        <v>S02</v>
      </c>
      <c r="E469" t="s">
        <v>1090</v>
      </c>
      <c r="F469" t="s">
        <v>958</v>
      </c>
      <c r="G469" t="s">
        <v>939</v>
      </c>
      <c r="H469">
        <v>1</v>
      </c>
      <c r="I469">
        <v>90.53</v>
      </c>
      <c r="J469">
        <v>0</v>
      </c>
      <c r="K469" s="3">
        <v>0</v>
      </c>
      <c r="L469">
        <v>90.53</v>
      </c>
      <c r="M469">
        <v>12.489999999999995</v>
      </c>
      <c r="N469" t="str">
        <f>"P. "&amp;(Sales__tbl[[#This Row],[product_id]]&amp;"."&amp;TEXT(Sales__tbl[[#This Row],[selling_price]],"0.00"))</f>
        <v>P. P.id03.90.53</v>
      </c>
    </row>
    <row r="470" spans="1:14" x14ac:dyDescent="0.25">
      <c r="A470">
        <v>469</v>
      </c>
      <c r="B470" s="9" t="str">
        <f>TEXT(Sales__tbl[[#This Row],[date]],"MM")</f>
        <v>05</v>
      </c>
      <c r="C470" s="13">
        <v>45437</v>
      </c>
      <c r="D470" t="str">
        <f>_xlfn.XLOOKUP(Sales__tbl[[#This Row],[customer_id]],customer_tbl[customer_id],customer_tbl[Branch_id],"Not found")</f>
        <v>W01</v>
      </c>
      <c r="E470" t="s">
        <v>1031</v>
      </c>
      <c r="F470" t="s">
        <v>963</v>
      </c>
      <c r="G470" t="s">
        <v>942</v>
      </c>
      <c r="H470">
        <v>1</v>
      </c>
      <c r="I470">
        <v>274.16000000000003</v>
      </c>
      <c r="J470">
        <v>0.1</v>
      </c>
      <c r="K470" s="3">
        <v>27.415999999999997</v>
      </c>
      <c r="L470">
        <v>246.74400000000003</v>
      </c>
      <c r="M470">
        <v>56.354000000000042</v>
      </c>
      <c r="N470" t="str">
        <f>"P. "&amp;(Sales__tbl[[#This Row],[product_id]]&amp;"."&amp;TEXT(Sales__tbl[[#This Row],[selling_price]],"0.00"))</f>
        <v>P. P.id08.274.16</v>
      </c>
    </row>
    <row r="471" spans="1:14" x14ac:dyDescent="0.25">
      <c r="A471">
        <v>470</v>
      </c>
      <c r="B471" s="9" t="str">
        <f>TEXT(Sales__tbl[[#This Row],[date]],"MM")</f>
        <v>05</v>
      </c>
      <c r="C471" s="13">
        <v>45438</v>
      </c>
      <c r="D471" t="str">
        <f>_xlfn.XLOOKUP(Sales__tbl[[#This Row],[customer_id]],customer_tbl[customer_id],customer_tbl[Branch_id],"Not found")</f>
        <v>W01</v>
      </c>
      <c r="E471" t="s">
        <v>1033</v>
      </c>
      <c r="F471" t="s">
        <v>960</v>
      </c>
      <c r="G471" t="s">
        <v>839</v>
      </c>
      <c r="H471">
        <v>2</v>
      </c>
      <c r="I471">
        <v>165.45</v>
      </c>
      <c r="J471">
        <v>0.15</v>
      </c>
      <c r="K471" s="3">
        <v>49.634999999999991</v>
      </c>
      <c r="L471">
        <v>281.26499999999999</v>
      </c>
      <c r="M471">
        <v>34.324999999999989</v>
      </c>
      <c r="N471" t="str">
        <f>"P. "&amp;(Sales__tbl[[#This Row],[product_id]]&amp;"."&amp;TEXT(Sales__tbl[[#This Row],[selling_price]],"0.00"))</f>
        <v>P. P.id05.165.45</v>
      </c>
    </row>
    <row r="472" spans="1:14" x14ac:dyDescent="0.25">
      <c r="A472">
        <v>471</v>
      </c>
      <c r="B472" s="9" t="str">
        <f>TEXT(Sales__tbl[[#This Row],[date]],"MM")</f>
        <v>05</v>
      </c>
      <c r="C472" s="13">
        <v>45439</v>
      </c>
      <c r="D472" t="str">
        <f>_xlfn.XLOOKUP(Sales__tbl[[#This Row],[customer_id]],customer_tbl[customer_id],customer_tbl[Branch_id],"Not found")</f>
        <v>N02</v>
      </c>
      <c r="E472" t="s">
        <v>1018</v>
      </c>
      <c r="F472" t="s">
        <v>963</v>
      </c>
      <c r="G472" t="s">
        <v>942</v>
      </c>
      <c r="H472">
        <v>1</v>
      </c>
      <c r="I472">
        <v>274.16000000000003</v>
      </c>
      <c r="J472">
        <v>0.1</v>
      </c>
      <c r="K472" s="3">
        <v>27.415999999999997</v>
      </c>
      <c r="L472">
        <v>246.74400000000003</v>
      </c>
      <c r="M472">
        <v>56.354000000000042</v>
      </c>
      <c r="N472" t="str">
        <f>"P. "&amp;(Sales__tbl[[#This Row],[product_id]]&amp;"."&amp;TEXT(Sales__tbl[[#This Row],[selling_price]],"0.00"))</f>
        <v>P. P.id08.274.16</v>
      </c>
    </row>
    <row r="473" spans="1:14" x14ac:dyDescent="0.25">
      <c r="A473">
        <v>472</v>
      </c>
      <c r="B473" s="9" t="str">
        <f>TEXT(Sales__tbl[[#This Row],[date]],"MM")</f>
        <v>05</v>
      </c>
      <c r="C473" s="13">
        <v>45440</v>
      </c>
      <c r="D473" t="str">
        <f>_xlfn.XLOOKUP(Sales__tbl[[#This Row],[customer_id]],customer_tbl[customer_id],customer_tbl[Branch_id],"Not found")</f>
        <v>N02</v>
      </c>
      <c r="E473" t="s">
        <v>1067</v>
      </c>
      <c r="F473" t="s">
        <v>966</v>
      </c>
      <c r="G473" t="s">
        <v>851</v>
      </c>
      <c r="H473">
        <v>2</v>
      </c>
      <c r="I473">
        <v>196.75</v>
      </c>
      <c r="J473">
        <v>0.15</v>
      </c>
      <c r="K473" s="3">
        <v>59.025000000000034</v>
      </c>
      <c r="L473">
        <v>334.47499999999997</v>
      </c>
      <c r="M473">
        <v>22.174999999999955</v>
      </c>
      <c r="N473" t="str">
        <f>"P. "&amp;(Sales__tbl[[#This Row],[product_id]]&amp;"."&amp;TEXT(Sales__tbl[[#This Row],[selling_price]],"0.00"))</f>
        <v>P. P.id11.196.75</v>
      </c>
    </row>
    <row r="474" spans="1:14" x14ac:dyDescent="0.25">
      <c r="A474">
        <v>473</v>
      </c>
      <c r="B474" s="9" t="str">
        <f>TEXT(Sales__tbl[[#This Row],[date]],"MM")</f>
        <v>05</v>
      </c>
      <c r="C474" s="13">
        <v>45441</v>
      </c>
      <c r="D474" t="str">
        <f>_xlfn.XLOOKUP(Sales__tbl[[#This Row],[customer_id]],customer_tbl[customer_id],customer_tbl[Branch_id],"Not found")</f>
        <v>S01</v>
      </c>
      <c r="E474" t="s">
        <v>1160</v>
      </c>
      <c r="F474" t="s">
        <v>963</v>
      </c>
      <c r="G474" t="s">
        <v>942</v>
      </c>
      <c r="H474">
        <v>1</v>
      </c>
      <c r="I474">
        <v>274.16000000000003</v>
      </c>
      <c r="J474">
        <v>0.1</v>
      </c>
      <c r="K474" s="3">
        <v>27.415999999999997</v>
      </c>
      <c r="L474">
        <v>246.74400000000003</v>
      </c>
      <c r="M474">
        <v>56.354000000000042</v>
      </c>
      <c r="N474" t="str">
        <f>"P. "&amp;(Sales__tbl[[#This Row],[product_id]]&amp;"."&amp;TEXT(Sales__tbl[[#This Row],[selling_price]],"0.00"))</f>
        <v>P. P.id08.274.16</v>
      </c>
    </row>
    <row r="475" spans="1:14" x14ac:dyDescent="0.25">
      <c r="A475">
        <v>474</v>
      </c>
      <c r="B475" s="9" t="str">
        <f>TEXT(Sales__tbl[[#This Row],[date]],"MM")</f>
        <v>05</v>
      </c>
      <c r="C475" s="13">
        <v>45442</v>
      </c>
      <c r="D475" t="str">
        <f>_xlfn.XLOOKUP(Sales__tbl[[#This Row],[customer_id]],customer_tbl[customer_id],customer_tbl[Branch_id],"Not found")</f>
        <v>N02</v>
      </c>
      <c r="E475" t="s">
        <v>1166</v>
      </c>
      <c r="F475" t="s">
        <v>966</v>
      </c>
      <c r="G475" t="s">
        <v>851</v>
      </c>
      <c r="H475">
        <v>1</v>
      </c>
      <c r="I475">
        <v>196.75</v>
      </c>
      <c r="J475">
        <v>0.1</v>
      </c>
      <c r="K475" s="3">
        <v>19.674999999999983</v>
      </c>
      <c r="L475">
        <v>177.07500000000002</v>
      </c>
      <c r="M475">
        <v>20.925000000000011</v>
      </c>
      <c r="N475" t="str">
        <f>"P. "&amp;(Sales__tbl[[#This Row],[product_id]]&amp;"."&amp;TEXT(Sales__tbl[[#This Row],[selling_price]],"0.00"))</f>
        <v>P. P.id11.196.75</v>
      </c>
    </row>
    <row r="476" spans="1:14" x14ac:dyDescent="0.25">
      <c r="A476">
        <v>475</v>
      </c>
      <c r="B476" s="9" t="str">
        <f>TEXT(Sales__tbl[[#This Row],[date]],"MM")</f>
        <v>05</v>
      </c>
      <c r="C476" s="13">
        <v>45443</v>
      </c>
      <c r="D476" t="str">
        <f>_xlfn.XLOOKUP(Sales__tbl[[#This Row],[customer_id]],customer_tbl[customer_id],customer_tbl[Branch_id],"Not found")</f>
        <v>N02</v>
      </c>
      <c r="E476" t="s">
        <v>1089</v>
      </c>
      <c r="F476" t="s">
        <v>957</v>
      </c>
      <c r="G476" t="s">
        <v>833</v>
      </c>
      <c r="H476">
        <v>1</v>
      </c>
      <c r="I476">
        <v>55.26</v>
      </c>
      <c r="J476">
        <v>0</v>
      </c>
      <c r="K476" s="3">
        <v>0</v>
      </c>
      <c r="L476">
        <v>55.26</v>
      </c>
      <c r="M476">
        <v>19.839999999999996</v>
      </c>
      <c r="N476" t="str">
        <f>"P. "&amp;(Sales__tbl[[#This Row],[product_id]]&amp;"."&amp;TEXT(Sales__tbl[[#This Row],[selling_price]],"0.00"))</f>
        <v>P. P.id02.55.26</v>
      </c>
    </row>
    <row r="477" spans="1:14" x14ac:dyDescent="0.25">
      <c r="A477">
        <v>476</v>
      </c>
      <c r="B477" s="9" t="str">
        <f>TEXT(Sales__tbl[[#This Row],[date]],"MM")</f>
        <v>06</v>
      </c>
      <c r="C477" s="13">
        <v>45444</v>
      </c>
      <c r="D477" t="str">
        <f>_xlfn.XLOOKUP(Sales__tbl[[#This Row],[customer_id]],customer_tbl[customer_id],customer_tbl[Branch_id],"Not found")</f>
        <v>C01</v>
      </c>
      <c r="E477" t="s">
        <v>999</v>
      </c>
      <c r="F477" t="s">
        <v>957</v>
      </c>
      <c r="G477" t="s">
        <v>833</v>
      </c>
      <c r="H477">
        <v>1</v>
      </c>
      <c r="I477">
        <v>55.26</v>
      </c>
      <c r="J477">
        <v>0</v>
      </c>
      <c r="K477" s="3">
        <v>0</v>
      </c>
      <c r="L477">
        <v>55.26</v>
      </c>
      <c r="M477">
        <v>19.839999999999996</v>
      </c>
      <c r="N477" t="str">
        <f>"P. "&amp;(Sales__tbl[[#This Row],[product_id]]&amp;"."&amp;TEXT(Sales__tbl[[#This Row],[selling_price]],"0.00"))</f>
        <v>P. P.id02.55.26</v>
      </c>
    </row>
    <row r="478" spans="1:14" x14ac:dyDescent="0.25">
      <c r="A478">
        <v>477</v>
      </c>
      <c r="B478" s="9" t="str">
        <f>TEXT(Sales__tbl[[#This Row],[date]],"MM")</f>
        <v>06</v>
      </c>
      <c r="C478" s="13">
        <v>45445</v>
      </c>
      <c r="D478" t="str">
        <f>_xlfn.XLOOKUP(Sales__tbl[[#This Row],[customer_id]],customer_tbl[customer_id],customer_tbl[Branch_id],"Not found")</f>
        <v>C01</v>
      </c>
      <c r="E478" t="s">
        <v>1127</v>
      </c>
      <c r="F478" t="s">
        <v>958</v>
      </c>
      <c r="G478" t="s">
        <v>939</v>
      </c>
      <c r="H478">
        <v>1</v>
      </c>
      <c r="I478">
        <v>90.53</v>
      </c>
      <c r="J478">
        <v>0</v>
      </c>
      <c r="K478" s="3">
        <v>0</v>
      </c>
      <c r="L478">
        <v>90.53</v>
      </c>
      <c r="M478">
        <v>12.489999999999995</v>
      </c>
      <c r="N478" t="str">
        <f>"P. "&amp;(Sales__tbl[[#This Row],[product_id]]&amp;"."&amp;TEXT(Sales__tbl[[#This Row],[selling_price]],"0.00"))</f>
        <v>P. P.id03.90.53</v>
      </c>
    </row>
    <row r="479" spans="1:14" x14ac:dyDescent="0.25">
      <c r="A479">
        <v>478</v>
      </c>
      <c r="B479" s="9" t="str">
        <f>TEXT(Sales__tbl[[#This Row],[date]],"MM")</f>
        <v>06</v>
      </c>
      <c r="C479" s="13">
        <v>45446</v>
      </c>
      <c r="D479" t="str">
        <f>_xlfn.XLOOKUP(Sales__tbl[[#This Row],[customer_id]],customer_tbl[customer_id],customer_tbl[Branch_id],"Not found")</f>
        <v>E02</v>
      </c>
      <c r="E479" t="s">
        <v>1119</v>
      </c>
      <c r="F479" t="s">
        <v>963</v>
      </c>
      <c r="G479" t="s">
        <v>942</v>
      </c>
      <c r="H479">
        <v>1</v>
      </c>
      <c r="I479">
        <v>274.16000000000003</v>
      </c>
      <c r="J479">
        <v>0.1</v>
      </c>
      <c r="K479" s="3">
        <v>27.415999999999997</v>
      </c>
      <c r="L479">
        <v>246.74400000000003</v>
      </c>
      <c r="M479">
        <v>56.354000000000042</v>
      </c>
      <c r="N479" t="str">
        <f>"P. "&amp;(Sales__tbl[[#This Row],[product_id]]&amp;"."&amp;TEXT(Sales__tbl[[#This Row],[selling_price]],"0.00"))</f>
        <v>P. P.id08.274.16</v>
      </c>
    </row>
    <row r="480" spans="1:14" x14ac:dyDescent="0.25">
      <c r="A480">
        <v>479</v>
      </c>
      <c r="B480" s="9" t="str">
        <f>TEXT(Sales__tbl[[#This Row],[date]],"MM")</f>
        <v>06</v>
      </c>
      <c r="C480" s="13">
        <v>45447</v>
      </c>
      <c r="D480" t="str">
        <f>_xlfn.XLOOKUP(Sales__tbl[[#This Row],[customer_id]],customer_tbl[customer_id],customer_tbl[Branch_id],"Not found")</f>
        <v>E01</v>
      </c>
      <c r="E480" t="s">
        <v>1169</v>
      </c>
      <c r="F480" t="s">
        <v>962</v>
      </c>
      <c r="G480" t="s">
        <v>941</v>
      </c>
      <c r="H480">
        <v>3</v>
      </c>
      <c r="I480">
        <v>259.11</v>
      </c>
      <c r="J480">
        <v>0.2</v>
      </c>
      <c r="K480" s="3">
        <v>155.46600000000001</v>
      </c>
      <c r="L480">
        <v>621.86400000000003</v>
      </c>
      <c r="M480">
        <v>100.16399999999999</v>
      </c>
      <c r="N480" t="str">
        <f>"P. "&amp;(Sales__tbl[[#This Row],[product_id]]&amp;"."&amp;TEXT(Sales__tbl[[#This Row],[selling_price]],"0.00"))</f>
        <v>P. P.id07.259.11</v>
      </c>
    </row>
    <row r="481" spans="1:14" x14ac:dyDescent="0.25">
      <c r="A481">
        <v>480</v>
      </c>
      <c r="B481" s="9" t="str">
        <f>TEXT(Sales__tbl[[#This Row],[date]],"MM")</f>
        <v>06</v>
      </c>
      <c r="C481" s="13">
        <v>45448</v>
      </c>
      <c r="D481" t="str">
        <f>_xlfn.XLOOKUP(Sales__tbl[[#This Row],[customer_id]],customer_tbl[customer_id],customer_tbl[Branch_id],"Not found")</f>
        <v>C02</v>
      </c>
      <c r="E481" t="s">
        <v>1187</v>
      </c>
      <c r="F481" t="s">
        <v>962</v>
      </c>
      <c r="G481" t="s">
        <v>941</v>
      </c>
      <c r="H481">
        <v>1</v>
      </c>
      <c r="I481">
        <v>259.11</v>
      </c>
      <c r="J481">
        <v>0.1</v>
      </c>
      <c r="K481" s="3">
        <v>25.911000000000001</v>
      </c>
      <c r="L481">
        <v>233.19900000000001</v>
      </c>
      <c r="M481">
        <v>59.299000000000007</v>
      </c>
      <c r="N481" t="str">
        <f>"P. "&amp;(Sales__tbl[[#This Row],[product_id]]&amp;"."&amp;TEXT(Sales__tbl[[#This Row],[selling_price]],"0.00"))</f>
        <v>P. P.id07.259.11</v>
      </c>
    </row>
    <row r="482" spans="1:14" x14ac:dyDescent="0.25">
      <c r="A482">
        <v>481</v>
      </c>
      <c r="B482" s="9" t="str">
        <f>TEXT(Sales__tbl[[#This Row],[date]],"MM")</f>
        <v>06</v>
      </c>
      <c r="C482" s="13">
        <v>45449</v>
      </c>
      <c r="D482" t="str">
        <f>_xlfn.XLOOKUP(Sales__tbl[[#This Row],[customer_id]],customer_tbl[customer_id],customer_tbl[Branch_id],"Not found")</f>
        <v>E01</v>
      </c>
      <c r="E482" t="s">
        <v>1035</v>
      </c>
      <c r="F482" t="s">
        <v>966</v>
      </c>
      <c r="G482" t="s">
        <v>851</v>
      </c>
      <c r="H482">
        <v>2</v>
      </c>
      <c r="I482">
        <v>196.75</v>
      </c>
      <c r="J482">
        <v>0.15</v>
      </c>
      <c r="K482" s="3">
        <v>59.025000000000034</v>
      </c>
      <c r="L482">
        <v>334.47499999999997</v>
      </c>
      <c r="M482">
        <v>22.174999999999955</v>
      </c>
      <c r="N482" t="str">
        <f>"P. "&amp;(Sales__tbl[[#This Row],[product_id]]&amp;"."&amp;TEXT(Sales__tbl[[#This Row],[selling_price]],"0.00"))</f>
        <v>P. P.id11.196.75</v>
      </c>
    </row>
    <row r="483" spans="1:14" x14ac:dyDescent="0.25">
      <c r="A483">
        <v>482</v>
      </c>
      <c r="B483" s="9" t="str">
        <f>TEXT(Sales__tbl[[#This Row],[date]],"MM")</f>
        <v>06</v>
      </c>
      <c r="C483" s="13">
        <v>45450</v>
      </c>
      <c r="D483" t="str">
        <f>_xlfn.XLOOKUP(Sales__tbl[[#This Row],[customer_id]],customer_tbl[customer_id],customer_tbl[Branch_id],"Not found")</f>
        <v>W02</v>
      </c>
      <c r="E483" t="s">
        <v>1079</v>
      </c>
      <c r="F483" t="s">
        <v>964</v>
      </c>
      <c r="G483" t="s">
        <v>943</v>
      </c>
      <c r="H483">
        <v>1</v>
      </c>
      <c r="I483">
        <v>190.58</v>
      </c>
      <c r="J483">
        <v>0.1</v>
      </c>
      <c r="K483" s="3">
        <v>19.057999999999993</v>
      </c>
      <c r="L483">
        <v>171.52200000000002</v>
      </c>
      <c r="M483">
        <v>23.782000000000011</v>
      </c>
      <c r="N483" t="str">
        <f>"P. "&amp;(Sales__tbl[[#This Row],[product_id]]&amp;"."&amp;TEXT(Sales__tbl[[#This Row],[selling_price]],"0.00"))</f>
        <v>P. P.id09.190.58</v>
      </c>
    </row>
    <row r="484" spans="1:14" x14ac:dyDescent="0.25">
      <c r="A484">
        <v>483</v>
      </c>
      <c r="B484" s="9" t="str">
        <f>TEXT(Sales__tbl[[#This Row],[date]],"MM")</f>
        <v>06</v>
      </c>
      <c r="C484" s="13">
        <v>45451</v>
      </c>
      <c r="D484" t="str">
        <f>_xlfn.XLOOKUP(Sales__tbl[[#This Row],[customer_id]],customer_tbl[customer_id],customer_tbl[Branch_id],"Not found")</f>
        <v>N01</v>
      </c>
      <c r="E484" t="s">
        <v>1188</v>
      </c>
      <c r="F484" t="s">
        <v>957</v>
      </c>
      <c r="G484" t="s">
        <v>833</v>
      </c>
      <c r="H484">
        <v>1</v>
      </c>
      <c r="I484">
        <v>55.26</v>
      </c>
      <c r="J484">
        <v>0</v>
      </c>
      <c r="K484" s="3">
        <v>0</v>
      </c>
      <c r="L484">
        <v>55.26</v>
      </c>
      <c r="M484">
        <v>19.839999999999996</v>
      </c>
      <c r="N484" t="str">
        <f>"P. "&amp;(Sales__tbl[[#This Row],[product_id]]&amp;"."&amp;TEXT(Sales__tbl[[#This Row],[selling_price]],"0.00"))</f>
        <v>P. P.id02.55.26</v>
      </c>
    </row>
    <row r="485" spans="1:14" x14ac:dyDescent="0.25">
      <c r="A485">
        <v>484</v>
      </c>
      <c r="B485" s="9" t="str">
        <f>TEXT(Sales__tbl[[#This Row],[date]],"MM")</f>
        <v>06</v>
      </c>
      <c r="C485" s="13">
        <v>45452</v>
      </c>
      <c r="D485" t="str">
        <f>_xlfn.XLOOKUP(Sales__tbl[[#This Row],[customer_id]],customer_tbl[customer_id],customer_tbl[Branch_id],"Not found")</f>
        <v>E02</v>
      </c>
      <c r="E485" t="s">
        <v>1158</v>
      </c>
      <c r="F485" t="s">
        <v>960</v>
      </c>
      <c r="G485" t="s">
        <v>839</v>
      </c>
      <c r="H485">
        <v>1</v>
      </c>
      <c r="I485">
        <v>165.45</v>
      </c>
      <c r="J485">
        <v>0.1</v>
      </c>
      <c r="K485" s="3">
        <v>16.544999999999987</v>
      </c>
      <c r="L485">
        <v>148.905</v>
      </c>
      <c r="M485">
        <v>25.435000000000002</v>
      </c>
      <c r="N485" t="str">
        <f>"P. "&amp;(Sales__tbl[[#This Row],[product_id]]&amp;"."&amp;TEXT(Sales__tbl[[#This Row],[selling_price]],"0.00"))</f>
        <v>P. P.id05.165.45</v>
      </c>
    </row>
    <row r="486" spans="1:14" x14ac:dyDescent="0.25">
      <c r="A486">
        <v>485</v>
      </c>
      <c r="B486" s="9" t="str">
        <f>TEXT(Sales__tbl[[#This Row],[date]],"MM")</f>
        <v>06</v>
      </c>
      <c r="C486" s="13">
        <v>45453</v>
      </c>
      <c r="D486" t="str">
        <f>_xlfn.XLOOKUP(Sales__tbl[[#This Row],[customer_id]],customer_tbl[customer_id],customer_tbl[Branch_id],"Not found")</f>
        <v>E01</v>
      </c>
      <c r="E486" t="s">
        <v>1040</v>
      </c>
      <c r="F486" t="s">
        <v>966</v>
      </c>
      <c r="G486" t="s">
        <v>851</v>
      </c>
      <c r="H486">
        <v>1</v>
      </c>
      <c r="I486">
        <v>196.75</v>
      </c>
      <c r="J486">
        <v>0.1</v>
      </c>
      <c r="K486" s="3">
        <v>19.674999999999983</v>
      </c>
      <c r="L486">
        <v>177.07500000000002</v>
      </c>
      <c r="M486">
        <v>20.925000000000011</v>
      </c>
      <c r="N486" t="str">
        <f>"P. "&amp;(Sales__tbl[[#This Row],[product_id]]&amp;"."&amp;TEXT(Sales__tbl[[#This Row],[selling_price]],"0.00"))</f>
        <v>P. P.id11.196.75</v>
      </c>
    </row>
    <row r="487" spans="1:14" x14ac:dyDescent="0.25">
      <c r="A487">
        <v>486</v>
      </c>
      <c r="B487" s="9" t="str">
        <f>TEXT(Sales__tbl[[#This Row],[date]],"MM")</f>
        <v>06</v>
      </c>
      <c r="C487" s="13">
        <v>45454</v>
      </c>
      <c r="D487" t="str">
        <f>_xlfn.XLOOKUP(Sales__tbl[[#This Row],[customer_id]],customer_tbl[customer_id],customer_tbl[Branch_id],"Not found")</f>
        <v>E01</v>
      </c>
      <c r="E487" t="s">
        <v>1161</v>
      </c>
      <c r="F487" t="s">
        <v>961</v>
      </c>
      <c r="G487" t="s">
        <v>940</v>
      </c>
      <c r="H487">
        <v>1</v>
      </c>
      <c r="I487">
        <v>66.790000000000006</v>
      </c>
      <c r="J487">
        <v>0</v>
      </c>
      <c r="K487" s="3">
        <v>0</v>
      </c>
      <c r="L487">
        <v>66.790000000000006</v>
      </c>
      <c r="M487">
        <v>22.850000000000009</v>
      </c>
      <c r="N487" t="str">
        <f>"P. "&amp;(Sales__tbl[[#This Row],[product_id]]&amp;"."&amp;TEXT(Sales__tbl[[#This Row],[selling_price]],"0.00"))</f>
        <v>P. P.id06.66.79</v>
      </c>
    </row>
    <row r="488" spans="1:14" x14ac:dyDescent="0.25">
      <c r="A488">
        <v>487</v>
      </c>
      <c r="B488" s="9" t="str">
        <f>TEXT(Sales__tbl[[#This Row],[date]],"MM")</f>
        <v>06</v>
      </c>
      <c r="C488" s="13">
        <v>45455</v>
      </c>
      <c r="D488" t="str">
        <f>_xlfn.XLOOKUP(Sales__tbl[[#This Row],[customer_id]],customer_tbl[customer_id],customer_tbl[Branch_id],"Not found")</f>
        <v>E02</v>
      </c>
      <c r="E488" t="s">
        <v>1119</v>
      </c>
      <c r="F488" t="s">
        <v>960</v>
      </c>
      <c r="G488" t="s">
        <v>839</v>
      </c>
      <c r="H488">
        <v>1</v>
      </c>
      <c r="I488">
        <v>165.45</v>
      </c>
      <c r="J488">
        <v>0.1</v>
      </c>
      <c r="K488" s="3">
        <v>16.544999999999987</v>
      </c>
      <c r="L488">
        <v>148.905</v>
      </c>
      <c r="M488">
        <v>25.435000000000002</v>
      </c>
      <c r="N488" t="str">
        <f>"P. "&amp;(Sales__tbl[[#This Row],[product_id]]&amp;"."&amp;TEXT(Sales__tbl[[#This Row],[selling_price]],"0.00"))</f>
        <v>P. P.id05.165.45</v>
      </c>
    </row>
    <row r="489" spans="1:14" x14ac:dyDescent="0.25">
      <c r="A489">
        <v>488</v>
      </c>
      <c r="B489" s="9" t="str">
        <f>TEXT(Sales__tbl[[#This Row],[date]],"MM")</f>
        <v>06</v>
      </c>
      <c r="C489" s="13">
        <v>45456</v>
      </c>
      <c r="D489" t="str">
        <f>_xlfn.XLOOKUP(Sales__tbl[[#This Row],[customer_id]],customer_tbl[customer_id],customer_tbl[Branch_id],"Not found")</f>
        <v>C01</v>
      </c>
      <c r="E489" t="s">
        <v>1148</v>
      </c>
      <c r="F489" t="s">
        <v>957</v>
      </c>
      <c r="G489" t="s">
        <v>833</v>
      </c>
      <c r="H489">
        <v>1</v>
      </c>
      <c r="I489">
        <v>55.26</v>
      </c>
      <c r="J489">
        <v>0</v>
      </c>
      <c r="K489" s="3">
        <v>0</v>
      </c>
      <c r="L489">
        <v>55.26</v>
      </c>
      <c r="M489">
        <v>19.839999999999996</v>
      </c>
      <c r="N489" t="str">
        <f>"P. "&amp;(Sales__tbl[[#This Row],[product_id]]&amp;"."&amp;TEXT(Sales__tbl[[#This Row],[selling_price]],"0.00"))</f>
        <v>P. P.id02.55.26</v>
      </c>
    </row>
    <row r="490" spans="1:14" x14ac:dyDescent="0.25">
      <c r="A490">
        <v>489</v>
      </c>
      <c r="B490" s="9" t="str">
        <f>TEXT(Sales__tbl[[#This Row],[date]],"MM")</f>
        <v>06</v>
      </c>
      <c r="C490" s="13">
        <v>45457</v>
      </c>
      <c r="D490" t="str">
        <f>_xlfn.XLOOKUP(Sales__tbl[[#This Row],[customer_id]],customer_tbl[customer_id],customer_tbl[Branch_id],"Not found")</f>
        <v>N01</v>
      </c>
      <c r="E490" t="s">
        <v>1070</v>
      </c>
      <c r="F490" t="s">
        <v>962</v>
      </c>
      <c r="G490" t="s">
        <v>941</v>
      </c>
      <c r="H490">
        <v>1</v>
      </c>
      <c r="I490">
        <v>259.11</v>
      </c>
      <c r="J490">
        <v>0.1</v>
      </c>
      <c r="K490" s="3">
        <v>25.911000000000001</v>
      </c>
      <c r="L490">
        <v>233.19900000000001</v>
      </c>
      <c r="M490">
        <v>59.299000000000007</v>
      </c>
      <c r="N490" t="str">
        <f>"P. "&amp;(Sales__tbl[[#This Row],[product_id]]&amp;"."&amp;TEXT(Sales__tbl[[#This Row],[selling_price]],"0.00"))</f>
        <v>P. P.id07.259.11</v>
      </c>
    </row>
    <row r="491" spans="1:14" x14ac:dyDescent="0.25">
      <c r="A491">
        <v>490</v>
      </c>
      <c r="B491" s="9" t="str">
        <f>TEXT(Sales__tbl[[#This Row],[date]],"MM")</f>
        <v>06</v>
      </c>
      <c r="C491" s="13">
        <v>45458</v>
      </c>
      <c r="D491" t="str">
        <f>_xlfn.XLOOKUP(Sales__tbl[[#This Row],[customer_id]],customer_tbl[customer_id],customer_tbl[Branch_id],"Not found")</f>
        <v>N01</v>
      </c>
      <c r="E491" t="s">
        <v>1027</v>
      </c>
      <c r="F491" t="s">
        <v>961</v>
      </c>
      <c r="G491" t="s">
        <v>940</v>
      </c>
      <c r="H491">
        <v>1</v>
      </c>
      <c r="I491">
        <v>66.790000000000006</v>
      </c>
      <c r="J491">
        <v>0</v>
      </c>
      <c r="K491" s="3">
        <v>0</v>
      </c>
      <c r="L491">
        <v>66.790000000000006</v>
      </c>
      <c r="M491">
        <v>22.850000000000009</v>
      </c>
      <c r="N491" t="str">
        <f>"P. "&amp;(Sales__tbl[[#This Row],[product_id]]&amp;"."&amp;TEXT(Sales__tbl[[#This Row],[selling_price]],"0.00"))</f>
        <v>P. P.id06.66.79</v>
      </c>
    </row>
    <row r="492" spans="1:14" x14ac:dyDescent="0.25">
      <c r="A492">
        <v>491</v>
      </c>
      <c r="B492" s="9" t="str">
        <f>TEXT(Sales__tbl[[#This Row],[date]],"MM")</f>
        <v>06</v>
      </c>
      <c r="C492" s="13">
        <v>45459</v>
      </c>
      <c r="D492" t="str">
        <f>_xlfn.XLOOKUP(Sales__tbl[[#This Row],[customer_id]],customer_tbl[customer_id],customer_tbl[Branch_id],"Not found")</f>
        <v>W01</v>
      </c>
      <c r="E492" t="s">
        <v>1086</v>
      </c>
      <c r="F492" t="s">
        <v>960</v>
      </c>
      <c r="G492" t="s">
        <v>839</v>
      </c>
      <c r="H492">
        <v>2</v>
      </c>
      <c r="I492">
        <v>165.45</v>
      </c>
      <c r="J492">
        <v>0.15</v>
      </c>
      <c r="K492" s="3">
        <v>49.634999999999991</v>
      </c>
      <c r="L492">
        <v>281.26499999999999</v>
      </c>
      <c r="M492">
        <v>34.324999999999989</v>
      </c>
      <c r="N492" t="str">
        <f>"P. "&amp;(Sales__tbl[[#This Row],[product_id]]&amp;"."&amp;TEXT(Sales__tbl[[#This Row],[selling_price]],"0.00"))</f>
        <v>P. P.id05.165.45</v>
      </c>
    </row>
    <row r="493" spans="1:14" x14ac:dyDescent="0.25">
      <c r="A493">
        <v>492</v>
      </c>
      <c r="B493" s="9" t="str">
        <f>TEXT(Sales__tbl[[#This Row],[date]],"MM")</f>
        <v>06</v>
      </c>
      <c r="C493" s="13">
        <v>45460</v>
      </c>
      <c r="D493" t="str">
        <f>_xlfn.XLOOKUP(Sales__tbl[[#This Row],[customer_id]],customer_tbl[customer_id],customer_tbl[Branch_id],"Not found")</f>
        <v>C02</v>
      </c>
      <c r="E493" t="s">
        <v>990</v>
      </c>
      <c r="F493" t="s">
        <v>962</v>
      </c>
      <c r="G493" t="s">
        <v>941</v>
      </c>
      <c r="H493">
        <v>2</v>
      </c>
      <c r="I493">
        <v>259.11</v>
      </c>
      <c r="J493">
        <v>0.2</v>
      </c>
      <c r="K493" s="3">
        <v>103.64400000000001</v>
      </c>
      <c r="L493">
        <v>414.57600000000002</v>
      </c>
      <c r="M493">
        <v>66.77600000000001</v>
      </c>
      <c r="N493" t="str">
        <f>"P. "&amp;(Sales__tbl[[#This Row],[product_id]]&amp;"."&amp;TEXT(Sales__tbl[[#This Row],[selling_price]],"0.00"))</f>
        <v>P. P.id07.259.11</v>
      </c>
    </row>
    <row r="494" spans="1:14" x14ac:dyDescent="0.25">
      <c r="A494">
        <v>493</v>
      </c>
      <c r="B494" s="9" t="str">
        <f>TEXT(Sales__tbl[[#This Row],[date]],"MM")</f>
        <v>06</v>
      </c>
      <c r="C494" s="13">
        <v>45461</v>
      </c>
      <c r="D494" t="str">
        <f>_xlfn.XLOOKUP(Sales__tbl[[#This Row],[customer_id]],customer_tbl[customer_id],customer_tbl[Branch_id],"Not found")</f>
        <v>S01</v>
      </c>
      <c r="E494" t="s">
        <v>1168</v>
      </c>
      <c r="F494" t="s">
        <v>961</v>
      </c>
      <c r="G494" t="s">
        <v>940</v>
      </c>
      <c r="H494">
        <v>1</v>
      </c>
      <c r="I494">
        <v>66.790000000000006</v>
      </c>
      <c r="J494">
        <v>0</v>
      </c>
      <c r="K494" s="3">
        <v>0</v>
      </c>
      <c r="L494">
        <v>66.790000000000006</v>
      </c>
      <c r="M494">
        <v>22.850000000000009</v>
      </c>
      <c r="N494" t="str">
        <f>"P. "&amp;(Sales__tbl[[#This Row],[product_id]]&amp;"."&amp;TEXT(Sales__tbl[[#This Row],[selling_price]],"0.00"))</f>
        <v>P. P.id06.66.79</v>
      </c>
    </row>
    <row r="495" spans="1:14" x14ac:dyDescent="0.25">
      <c r="A495">
        <v>494</v>
      </c>
      <c r="B495" s="9" t="str">
        <f>TEXT(Sales__tbl[[#This Row],[date]],"MM")</f>
        <v>06</v>
      </c>
      <c r="C495" s="13">
        <v>45462</v>
      </c>
      <c r="D495" t="str">
        <f>_xlfn.XLOOKUP(Sales__tbl[[#This Row],[customer_id]],customer_tbl[customer_id],customer_tbl[Branch_id],"Not found")</f>
        <v>N01</v>
      </c>
      <c r="E495" t="s">
        <v>1016</v>
      </c>
      <c r="F495" t="s">
        <v>956</v>
      </c>
      <c r="G495" t="s">
        <v>831</v>
      </c>
      <c r="H495">
        <v>1</v>
      </c>
      <c r="I495">
        <v>303.48</v>
      </c>
      <c r="J495">
        <v>0.15</v>
      </c>
      <c r="K495" s="3">
        <v>45.521999999999991</v>
      </c>
      <c r="L495">
        <v>257.95800000000003</v>
      </c>
      <c r="M495">
        <v>64.658000000000015</v>
      </c>
      <c r="N495" t="str">
        <f>"P. "&amp;(Sales__tbl[[#This Row],[product_id]]&amp;"."&amp;TEXT(Sales__tbl[[#This Row],[selling_price]],"0.00"))</f>
        <v>P. P.id01.303.48</v>
      </c>
    </row>
    <row r="496" spans="1:14" x14ac:dyDescent="0.25">
      <c r="A496">
        <v>495</v>
      </c>
      <c r="B496" s="9" t="str">
        <f>TEXT(Sales__tbl[[#This Row],[date]],"MM")</f>
        <v>06</v>
      </c>
      <c r="C496" s="13">
        <v>45463</v>
      </c>
      <c r="D496" t="str">
        <f>_xlfn.XLOOKUP(Sales__tbl[[#This Row],[customer_id]],customer_tbl[customer_id],customer_tbl[Branch_id],"Not found")</f>
        <v>S01</v>
      </c>
      <c r="E496" t="s">
        <v>1023</v>
      </c>
      <c r="F496" t="s">
        <v>960</v>
      </c>
      <c r="G496" t="s">
        <v>839</v>
      </c>
      <c r="H496">
        <v>1</v>
      </c>
      <c r="I496">
        <v>165.45</v>
      </c>
      <c r="J496">
        <v>0.1</v>
      </c>
      <c r="K496" s="3">
        <v>16.544999999999987</v>
      </c>
      <c r="L496">
        <v>148.905</v>
      </c>
      <c r="M496">
        <v>25.435000000000002</v>
      </c>
      <c r="N496" t="str">
        <f>"P. "&amp;(Sales__tbl[[#This Row],[product_id]]&amp;"."&amp;TEXT(Sales__tbl[[#This Row],[selling_price]],"0.00"))</f>
        <v>P. P.id05.165.45</v>
      </c>
    </row>
    <row r="497" spans="1:14" x14ac:dyDescent="0.25">
      <c r="A497">
        <v>496</v>
      </c>
      <c r="B497" s="9" t="str">
        <f>TEXT(Sales__tbl[[#This Row],[date]],"MM")</f>
        <v>06</v>
      </c>
      <c r="C497" s="13">
        <v>45464</v>
      </c>
      <c r="D497" t="str">
        <f>_xlfn.XLOOKUP(Sales__tbl[[#This Row],[customer_id]],customer_tbl[customer_id],customer_tbl[Branch_id],"Not found")</f>
        <v>E02</v>
      </c>
      <c r="E497" t="s">
        <v>1109</v>
      </c>
      <c r="F497" t="s">
        <v>966</v>
      </c>
      <c r="G497" t="s">
        <v>851</v>
      </c>
      <c r="H497">
        <v>3</v>
      </c>
      <c r="I497">
        <v>196.75</v>
      </c>
      <c r="J497">
        <v>0.2</v>
      </c>
      <c r="K497" s="3">
        <v>118.04999999999995</v>
      </c>
      <c r="L497">
        <v>472.20000000000005</v>
      </c>
      <c r="M497">
        <v>3.75</v>
      </c>
      <c r="N497" t="str">
        <f>"P. "&amp;(Sales__tbl[[#This Row],[product_id]]&amp;"."&amp;TEXT(Sales__tbl[[#This Row],[selling_price]],"0.00"))</f>
        <v>P. P.id11.196.75</v>
      </c>
    </row>
    <row r="498" spans="1:14" x14ac:dyDescent="0.25">
      <c r="A498">
        <v>497</v>
      </c>
      <c r="B498" s="9" t="str">
        <f>TEXT(Sales__tbl[[#This Row],[date]],"MM")</f>
        <v>06</v>
      </c>
      <c r="C498" s="13">
        <v>45465</v>
      </c>
      <c r="D498" t="str">
        <f>_xlfn.XLOOKUP(Sales__tbl[[#This Row],[customer_id]],customer_tbl[customer_id],customer_tbl[Branch_id],"Not found")</f>
        <v>C01</v>
      </c>
      <c r="E498" t="s">
        <v>1097</v>
      </c>
      <c r="F498" t="s">
        <v>956</v>
      </c>
      <c r="G498" t="s">
        <v>831</v>
      </c>
      <c r="H498">
        <v>1</v>
      </c>
      <c r="I498">
        <v>303.48</v>
      </c>
      <c r="J498">
        <v>0.15</v>
      </c>
      <c r="K498" s="3">
        <v>45.521999999999991</v>
      </c>
      <c r="L498">
        <v>257.95800000000003</v>
      </c>
      <c r="M498">
        <v>64.658000000000015</v>
      </c>
      <c r="N498" t="str">
        <f>"P. "&amp;(Sales__tbl[[#This Row],[product_id]]&amp;"."&amp;TEXT(Sales__tbl[[#This Row],[selling_price]],"0.00"))</f>
        <v>P. P.id01.303.48</v>
      </c>
    </row>
    <row r="499" spans="1:14" x14ac:dyDescent="0.25">
      <c r="A499">
        <v>498</v>
      </c>
      <c r="B499" s="9" t="str">
        <f>TEXT(Sales__tbl[[#This Row],[date]],"MM")</f>
        <v>06</v>
      </c>
      <c r="C499" s="13">
        <v>45466</v>
      </c>
      <c r="D499" t="str">
        <f>_xlfn.XLOOKUP(Sales__tbl[[#This Row],[customer_id]],customer_tbl[customer_id],customer_tbl[Branch_id],"Not found")</f>
        <v>C02</v>
      </c>
      <c r="E499" t="s">
        <v>1081</v>
      </c>
      <c r="F499" t="s">
        <v>960</v>
      </c>
      <c r="G499" t="s">
        <v>839</v>
      </c>
      <c r="H499">
        <v>1</v>
      </c>
      <c r="I499">
        <v>165.45</v>
      </c>
      <c r="J499">
        <v>0.1</v>
      </c>
      <c r="K499" s="3">
        <v>16.544999999999987</v>
      </c>
      <c r="L499">
        <v>148.905</v>
      </c>
      <c r="M499">
        <v>25.435000000000002</v>
      </c>
      <c r="N499" t="str">
        <f>"P. "&amp;(Sales__tbl[[#This Row],[product_id]]&amp;"."&amp;TEXT(Sales__tbl[[#This Row],[selling_price]],"0.00"))</f>
        <v>P. P.id05.165.45</v>
      </c>
    </row>
    <row r="500" spans="1:14" x14ac:dyDescent="0.25">
      <c r="A500">
        <v>499</v>
      </c>
      <c r="B500" s="9" t="str">
        <f>TEXT(Sales__tbl[[#This Row],[date]],"MM")</f>
        <v>06</v>
      </c>
      <c r="C500" s="13">
        <v>45467</v>
      </c>
      <c r="D500" t="str">
        <f>_xlfn.XLOOKUP(Sales__tbl[[#This Row],[customer_id]],customer_tbl[customer_id],customer_tbl[Branch_id],"Not found")</f>
        <v>N02</v>
      </c>
      <c r="E500" t="s">
        <v>1089</v>
      </c>
      <c r="F500" t="s">
        <v>965</v>
      </c>
      <c r="G500" t="s">
        <v>847</v>
      </c>
      <c r="H500">
        <v>1</v>
      </c>
      <c r="I500">
        <v>168</v>
      </c>
      <c r="J500">
        <v>0.1</v>
      </c>
      <c r="K500" s="3">
        <v>16.799999999999983</v>
      </c>
      <c r="L500">
        <v>151.20000000000002</v>
      </c>
      <c r="M500">
        <v>29.460000000000022</v>
      </c>
      <c r="N500" t="str">
        <f>"P. "&amp;(Sales__tbl[[#This Row],[product_id]]&amp;"."&amp;TEXT(Sales__tbl[[#This Row],[selling_price]],"0.00"))</f>
        <v>P. P.id10.168.00</v>
      </c>
    </row>
    <row r="501" spans="1:14" x14ac:dyDescent="0.25">
      <c r="A501">
        <v>500</v>
      </c>
      <c r="B501" s="9" t="str">
        <f>TEXT(Sales__tbl[[#This Row],[date]],"MM")</f>
        <v>06</v>
      </c>
      <c r="C501" s="13">
        <v>45468</v>
      </c>
      <c r="D501" t="str">
        <f>_xlfn.XLOOKUP(Sales__tbl[[#This Row],[customer_id]],customer_tbl[customer_id],customer_tbl[Branch_id],"Not found")</f>
        <v>W02</v>
      </c>
      <c r="E501" t="s">
        <v>991</v>
      </c>
      <c r="F501" t="s">
        <v>958</v>
      </c>
      <c r="G501" t="s">
        <v>939</v>
      </c>
      <c r="H501">
        <v>1</v>
      </c>
      <c r="I501">
        <v>90.53</v>
      </c>
      <c r="J501">
        <v>0</v>
      </c>
      <c r="K501" s="3">
        <v>0</v>
      </c>
      <c r="L501">
        <v>90.53</v>
      </c>
      <c r="M501">
        <v>12.489999999999995</v>
      </c>
      <c r="N501" t="str">
        <f>"P. "&amp;(Sales__tbl[[#This Row],[product_id]]&amp;"."&amp;TEXT(Sales__tbl[[#This Row],[selling_price]],"0.00"))</f>
        <v>P. P.id03.90.53</v>
      </c>
    </row>
    <row r="502" spans="1:14" x14ac:dyDescent="0.25">
      <c r="A502">
        <v>501</v>
      </c>
      <c r="B502" s="9" t="str">
        <f>TEXT(Sales__tbl[[#This Row],[date]],"MM")</f>
        <v>06</v>
      </c>
      <c r="C502" s="13">
        <v>45469</v>
      </c>
      <c r="D502" t="str">
        <f>_xlfn.XLOOKUP(Sales__tbl[[#This Row],[customer_id]],customer_tbl[customer_id],customer_tbl[Branch_id],"Not found")</f>
        <v>E01</v>
      </c>
      <c r="E502" t="s">
        <v>1161</v>
      </c>
      <c r="F502" t="s">
        <v>958</v>
      </c>
      <c r="G502" t="s">
        <v>939</v>
      </c>
      <c r="H502">
        <v>1</v>
      </c>
      <c r="I502">
        <v>90.53</v>
      </c>
      <c r="J502">
        <v>0</v>
      </c>
      <c r="K502" s="3">
        <v>0</v>
      </c>
      <c r="L502">
        <v>90.53</v>
      </c>
      <c r="M502">
        <v>12.489999999999995</v>
      </c>
      <c r="N502" t="str">
        <f>"P. "&amp;(Sales__tbl[[#This Row],[product_id]]&amp;"."&amp;TEXT(Sales__tbl[[#This Row],[selling_price]],"0.00"))</f>
        <v>P. P.id03.90.53</v>
      </c>
    </row>
    <row r="503" spans="1:14" x14ac:dyDescent="0.25">
      <c r="A503">
        <v>502</v>
      </c>
      <c r="B503" s="9" t="str">
        <f>TEXT(Sales__tbl[[#This Row],[date]],"MM")</f>
        <v>06</v>
      </c>
      <c r="C503" s="13">
        <v>45470</v>
      </c>
      <c r="D503" t="str">
        <f>_xlfn.XLOOKUP(Sales__tbl[[#This Row],[customer_id]],customer_tbl[customer_id],customer_tbl[Branch_id],"Not found")</f>
        <v>N02</v>
      </c>
      <c r="E503" t="s">
        <v>1162</v>
      </c>
      <c r="F503" t="s">
        <v>960</v>
      </c>
      <c r="G503" t="s">
        <v>839</v>
      </c>
      <c r="H503">
        <v>1</v>
      </c>
      <c r="I503">
        <v>165.45</v>
      </c>
      <c r="J503">
        <v>0.1</v>
      </c>
      <c r="K503" s="3">
        <v>16.544999999999987</v>
      </c>
      <c r="L503">
        <v>148.905</v>
      </c>
      <c r="M503">
        <v>25.435000000000002</v>
      </c>
      <c r="N503" t="str">
        <f>"P. "&amp;(Sales__tbl[[#This Row],[product_id]]&amp;"."&amp;TEXT(Sales__tbl[[#This Row],[selling_price]],"0.00"))</f>
        <v>P. P.id05.165.45</v>
      </c>
    </row>
    <row r="504" spans="1:14" x14ac:dyDescent="0.25">
      <c r="A504">
        <v>503</v>
      </c>
      <c r="B504" s="9" t="str">
        <f>TEXT(Sales__tbl[[#This Row],[date]],"MM")</f>
        <v>06</v>
      </c>
      <c r="C504" s="13">
        <v>45471</v>
      </c>
      <c r="D504" t="str">
        <f>_xlfn.XLOOKUP(Sales__tbl[[#This Row],[customer_id]],customer_tbl[customer_id],customer_tbl[Branch_id],"Not found")</f>
        <v>E01</v>
      </c>
      <c r="E504" t="s">
        <v>1014</v>
      </c>
      <c r="F504" t="s">
        <v>963</v>
      </c>
      <c r="G504" t="s">
        <v>942</v>
      </c>
      <c r="H504">
        <v>1</v>
      </c>
      <c r="I504">
        <v>274.16000000000003</v>
      </c>
      <c r="J504">
        <v>0.1</v>
      </c>
      <c r="K504" s="3">
        <v>27.415999999999997</v>
      </c>
      <c r="L504">
        <v>246.74400000000003</v>
      </c>
      <c r="M504">
        <v>56.354000000000042</v>
      </c>
      <c r="N504" t="str">
        <f>"P. "&amp;(Sales__tbl[[#This Row],[product_id]]&amp;"."&amp;TEXT(Sales__tbl[[#This Row],[selling_price]],"0.00"))</f>
        <v>P. P.id08.274.16</v>
      </c>
    </row>
    <row r="505" spans="1:14" x14ac:dyDescent="0.25">
      <c r="A505">
        <v>504</v>
      </c>
      <c r="B505" s="9" t="str">
        <f>TEXT(Sales__tbl[[#This Row],[date]],"MM")</f>
        <v>06</v>
      </c>
      <c r="C505" s="13">
        <v>45472</v>
      </c>
      <c r="D505" t="str">
        <f>_xlfn.XLOOKUP(Sales__tbl[[#This Row],[customer_id]],customer_tbl[customer_id],customer_tbl[Branch_id],"Not found")</f>
        <v>E01</v>
      </c>
      <c r="E505" t="s">
        <v>1116</v>
      </c>
      <c r="F505" t="s">
        <v>959</v>
      </c>
      <c r="G505" t="s">
        <v>837</v>
      </c>
      <c r="H505">
        <v>1</v>
      </c>
      <c r="I505">
        <v>11.53</v>
      </c>
      <c r="J505">
        <v>0</v>
      </c>
      <c r="K505" s="3">
        <v>0</v>
      </c>
      <c r="L505">
        <v>11.53</v>
      </c>
      <c r="M505">
        <v>2.5199999999999996</v>
      </c>
      <c r="N505" t="str">
        <f>"P. "&amp;(Sales__tbl[[#This Row],[product_id]]&amp;"."&amp;TEXT(Sales__tbl[[#This Row],[selling_price]],"0.00"))</f>
        <v>P. P.id04.11.53</v>
      </c>
    </row>
    <row r="506" spans="1:14" x14ac:dyDescent="0.25">
      <c r="A506">
        <v>505</v>
      </c>
      <c r="B506" s="9" t="str">
        <f>TEXT(Sales__tbl[[#This Row],[date]],"MM")</f>
        <v>06</v>
      </c>
      <c r="C506" s="13">
        <v>45473</v>
      </c>
      <c r="D506" t="str">
        <f>_xlfn.XLOOKUP(Sales__tbl[[#This Row],[customer_id]],customer_tbl[customer_id],customer_tbl[Branch_id],"Not found")</f>
        <v>N01</v>
      </c>
      <c r="E506" t="s">
        <v>1061</v>
      </c>
      <c r="F506" t="s">
        <v>958</v>
      </c>
      <c r="G506" t="s">
        <v>939</v>
      </c>
      <c r="H506">
        <v>1</v>
      </c>
      <c r="I506">
        <v>90.53</v>
      </c>
      <c r="J506">
        <v>0</v>
      </c>
      <c r="K506" s="3">
        <v>0</v>
      </c>
      <c r="L506">
        <v>90.53</v>
      </c>
      <c r="M506">
        <v>12.489999999999995</v>
      </c>
      <c r="N506" t="str">
        <f>"P. "&amp;(Sales__tbl[[#This Row],[product_id]]&amp;"."&amp;TEXT(Sales__tbl[[#This Row],[selling_price]],"0.00"))</f>
        <v>P. P.id03.90.53</v>
      </c>
    </row>
    <row r="507" spans="1:14" x14ac:dyDescent="0.25">
      <c r="A507">
        <v>506</v>
      </c>
      <c r="B507" s="9" t="str">
        <f>TEXT(Sales__tbl[[#This Row],[date]],"MM")</f>
        <v>07</v>
      </c>
      <c r="C507" s="13">
        <v>45474</v>
      </c>
      <c r="D507" t="str">
        <f>_xlfn.XLOOKUP(Sales__tbl[[#This Row],[customer_id]],customer_tbl[customer_id],customer_tbl[Branch_id],"Not found")</f>
        <v>S02</v>
      </c>
      <c r="E507" t="s">
        <v>1092</v>
      </c>
      <c r="F507" t="s">
        <v>962</v>
      </c>
      <c r="G507" t="s">
        <v>941</v>
      </c>
      <c r="H507">
        <v>2</v>
      </c>
      <c r="I507">
        <v>259.11</v>
      </c>
      <c r="J507">
        <v>0.2</v>
      </c>
      <c r="K507" s="3">
        <v>103.64400000000001</v>
      </c>
      <c r="L507">
        <v>414.57600000000002</v>
      </c>
      <c r="M507">
        <v>66.77600000000001</v>
      </c>
      <c r="N507" t="str">
        <f>"P. "&amp;(Sales__tbl[[#This Row],[product_id]]&amp;"."&amp;TEXT(Sales__tbl[[#This Row],[selling_price]],"0.00"))</f>
        <v>P. P.id07.259.11</v>
      </c>
    </row>
    <row r="508" spans="1:14" x14ac:dyDescent="0.25">
      <c r="A508">
        <v>507</v>
      </c>
      <c r="B508" s="9" t="str">
        <f>TEXT(Sales__tbl[[#This Row],[date]],"MM")</f>
        <v>07</v>
      </c>
      <c r="C508" s="13">
        <v>45475</v>
      </c>
      <c r="D508" t="str">
        <f>_xlfn.XLOOKUP(Sales__tbl[[#This Row],[customer_id]],customer_tbl[customer_id],customer_tbl[Branch_id],"Not found")</f>
        <v>S02</v>
      </c>
      <c r="E508" t="s">
        <v>1093</v>
      </c>
      <c r="F508" t="s">
        <v>966</v>
      </c>
      <c r="G508" t="s">
        <v>851</v>
      </c>
      <c r="H508">
        <v>1</v>
      </c>
      <c r="I508">
        <v>196.75</v>
      </c>
      <c r="J508">
        <v>0.1</v>
      </c>
      <c r="K508" s="3">
        <v>19.674999999999983</v>
      </c>
      <c r="L508">
        <v>177.07500000000002</v>
      </c>
      <c r="M508">
        <v>20.925000000000011</v>
      </c>
      <c r="N508" t="str">
        <f>"P. "&amp;(Sales__tbl[[#This Row],[product_id]]&amp;"."&amp;TEXT(Sales__tbl[[#This Row],[selling_price]],"0.00"))</f>
        <v>P. P.id11.196.75</v>
      </c>
    </row>
    <row r="509" spans="1:14" x14ac:dyDescent="0.25">
      <c r="A509">
        <v>508</v>
      </c>
      <c r="B509" s="9" t="str">
        <f>TEXT(Sales__tbl[[#This Row],[date]],"MM")</f>
        <v>07</v>
      </c>
      <c r="C509" s="13">
        <v>45476</v>
      </c>
      <c r="D509" t="str">
        <f>_xlfn.XLOOKUP(Sales__tbl[[#This Row],[customer_id]],customer_tbl[customer_id],customer_tbl[Branch_id],"Not found")</f>
        <v>E02</v>
      </c>
      <c r="E509" t="s">
        <v>1189</v>
      </c>
      <c r="F509" t="s">
        <v>961</v>
      </c>
      <c r="G509" t="s">
        <v>940</v>
      </c>
      <c r="H509">
        <v>1</v>
      </c>
      <c r="I509">
        <v>66.790000000000006</v>
      </c>
      <c r="J509">
        <v>0</v>
      </c>
      <c r="K509" s="3">
        <v>0</v>
      </c>
      <c r="L509">
        <v>66.790000000000006</v>
      </c>
      <c r="M509">
        <v>22.850000000000009</v>
      </c>
      <c r="N509" t="str">
        <f>"P. "&amp;(Sales__tbl[[#This Row],[product_id]]&amp;"."&amp;TEXT(Sales__tbl[[#This Row],[selling_price]],"0.00"))</f>
        <v>P. P.id06.66.79</v>
      </c>
    </row>
    <row r="510" spans="1:14" x14ac:dyDescent="0.25">
      <c r="A510">
        <v>509</v>
      </c>
      <c r="B510" s="9" t="str">
        <f>TEXT(Sales__tbl[[#This Row],[date]],"MM")</f>
        <v>07</v>
      </c>
      <c r="C510" s="13">
        <v>45477</v>
      </c>
      <c r="D510" t="str">
        <f>_xlfn.XLOOKUP(Sales__tbl[[#This Row],[customer_id]],customer_tbl[customer_id],customer_tbl[Branch_id],"Not found")</f>
        <v>S02</v>
      </c>
      <c r="E510" t="s">
        <v>1078</v>
      </c>
      <c r="F510" t="s">
        <v>965</v>
      </c>
      <c r="G510" t="s">
        <v>847</v>
      </c>
      <c r="H510">
        <v>1</v>
      </c>
      <c r="I510">
        <v>168</v>
      </c>
      <c r="J510">
        <v>0.1</v>
      </c>
      <c r="K510" s="3">
        <v>16.799999999999983</v>
      </c>
      <c r="L510">
        <v>151.20000000000002</v>
      </c>
      <c r="M510">
        <v>29.460000000000022</v>
      </c>
      <c r="N510" t="str">
        <f>"P. "&amp;(Sales__tbl[[#This Row],[product_id]]&amp;"."&amp;TEXT(Sales__tbl[[#This Row],[selling_price]],"0.00"))</f>
        <v>P. P.id10.168.00</v>
      </c>
    </row>
    <row r="511" spans="1:14" x14ac:dyDescent="0.25">
      <c r="A511">
        <v>510</v>
      </c>
      <c r="B511" s="9" t="str">
        <f>TEXT(Sales__tbl[[#This Row],[date]],"MM")</f>
        <v>07</v>
      </c>
      <c r="C511" s="13">
        <v>45478</v>
      </c>
      <c r="D511" t="str">
        <f>_xlfn.XLOOKUP(Sales__tbl[[#This Row],[customer_id]],customer_tbl[customer_id],customer_tbl[Branch_id],"Not found")</f>
        <v>E01</v>
      </c>
      <c r="E511" t="s">
        <v>1011</v>
      </c>
      <c r="F511" t="s">
        <v>961</v>
      </c>
      <c r="G511" t="s">
        <v>940</v>
      </c>
      <c r="H511">
        <v>1</v>
      </c>
      <c r="I511">
        <v>66.790000000000006</v>
      </c>
      <c r="J511">
        <v>0</v>
      </c>
      <c r="K511" s="3">
        <v>0</v>
      </c>
      <c r="L511">
        <v>66.790000000000006</v>
      </c>
      <c r="M511">
        <v>22.850000000000009</v>
      </c>
      <c r="N511" t="str">
        <f>"P. "&amp;(Sales__tbl[[#This Row],[product_id]]&amp;"."&amp;TEXT(Sales__tbl[[#This Row],[selling_price]],"0.00"))</f>
        <v>P. P.id06.66.79</v>
      </c>
    </row>
    <row r="512" spans="1:14" x14ac:dyDescent="0.25">
      <c r="A512">
        <v>511</v>
      </c>
      <c r="B512" s="9" t="str">
        <f>TEXT(Sales__tbl[[#This Row],[date]],"MM")</f>
        <v>07</v>
      </c>
      <c r="C512" s="13">
        <v>45479</v>
      </c>
      <c r="D512" t="str">
        <f>_xlfn.XLOOKUP(Sales__tbl[[#This Row],[customer_id]],customer_tbl[customer_id],customer_tbl[Branch_id],"Not found")</f>
        <v>W01</v>
      </c>
      <c r="E512" t="s">
        <v>1033</v>
      </c>
      <c r="F512" t="s">
        <v>960</v>
      </c>
      <c r="G512" t="s">
        <v>839</v>
      </c>
      <c r="H512">
        <v>2</v>
      </c>
      <c r="I512">
        <v>165.45</v>
      </c>
      <c r="J512">
        <v>0.15</v>
      </c>
      <c r="K512" s="3">
        <v>49.634999999999991</v>
      </c>
      <c r="L512">
        <v>281.26499999999999</v>
      </c>
      <c r="M512">
        <v>34.324999999999989</v>
      </c>
      <c r="N512" t="str">
        <f>"P. "&amp;(Sales__tbl[[#This Row],[product_id]]&amp;"."&amp;TEXT(Sales__tbl[[#This Row],[selling_price]],"0.00"))</f>
        <v>P. P.id05.165.45</v>
      </c>
    </row>
    <row r="513" spans="1:14" x14ac:dyDescent="0.25">
      <c r="A513">
        <v>512</v>
      </c>
      <c r="B513" s="9" t="str">
        <f>TEXT(Sales__tbl[[#This Row],[date]],"MM")</f>
        <v>07</v>
      </c>
      <c r="C513" s="13">
        <v>45480</v>
      </c>
      <c r="D513" t="str">
        <f>_xlfn.XLOOKUP(Sales__tbl[[#This Row],[customer_id]],customer_tbl[customer_id],customer_tbl[Branch_id],"Not found")</f>
        <v>W02</v>
      </c>
      <c r="E513" t="s">
        <v>1137</v>
      </c>
      <c r="F513" t="s">
        <v>960</v>
      </c>
      <c r="G513" t="s">
        <v>839</v>
      </c>
      <c r="H513">
        <v>1</v>
      </c>
      <c r="I513">
        <v>165.45</v>
      </c>
      <c r="J513">
        <v>0.1</v>
      </c>
      <c r="K513" s="3">
        <v>16.544999999999987</v>
      </c>
      <c r="L513">
        <v>148.905</v>
      </c>
      <c r="M513">
        <v>25.435000000000002</v>
      </c>
      <c r="N513" t="str">
        <f>"P. "&amp;(Sales__tbl[[#This Row],[product_id]]&amp;"."&amp;TEXT(Sales__tbl[[#This Row],[selling_price]],"0.00"))</f>
        <v>P. P.id05.165.45</v>
      </c>
    </row>
    <row r="514" spans="1:14" x14ac:dyDescent="0.25">
      <c r="A514">
        <v>513</v>
      </c>
      <c r="B514" s="9" t="str">
        <f>TEXT(Sales__tbl[[#This Row],[date]],"MM")</f>
        <v>07</v>
      </c>
      <c r="C514" s="13">
        <v>45481</v>
      </c>
      <c r="D514" t="str">
        <f>_xlfn.XLOOKUP(Sales__tbl[[#This Row],[customer_id]],customer_tbl[customer_id],customer_tbl[Branch_id],"Not found")</f>
        <v>C01</v>
      </c>
      <c r="E514" t="s">
        <v>996</v>
      </c>
      <c r="F514" t="s">
        <v>962</v>
      </c>
      <c r="G514" t="s">
        <v>941</v>
      </c>
      <c r="H514">
        <v>2</v>
      </c>
      <c r="I514">
        <v>259.11</v>
      </c>
      <c r="J514">
        <v>0.2</v>
      </c>
      <c r="K514" s="3">
        <v>103.64400000000001</v>
      </c>
      <c r="L514">
        <v>414.57600000000002</v>
      </c>
      <c r="M514">
        <v>66.77600000000001</v>
      </c>
      <c r="N514" t="str">
        <f>"P. "&amp;(Sales__tbl[[#This Row],[product_id]]&amp;"."&amp;TEXT(Sales__tbl[[#This Row],[selling_price]],"0.00"))</f>
        <v>P. P.id07.259.11</v>
      </c>
    </row>
    <row r="515" spans="1:14" x14ac:dyDescent="0.25">
      <c r="A515">
        <v>514</v>
      </c>
      <c r="B515" s="9" t="str">
        <f>TEXT(Sales__tbl[[#This Row],[date]],"MM")</f>
        <v>07</v>
      </c>
      <c r="C515" s="13">
        <v>45482</v>
      </c>
      <c r="D515" t="str">
        <f>_xlfn.XLOOKUP(Sales__tbl[[#This Row],[customer_id]],customer_tbl[customer_id],customer_tbl[Branch_id],"Not found")</f>
        <v>N01</v>
      </c>
      <c r="E515" t="s">
        <v>1181</v>
      </c>
      <c r="F515" t="s">
        <v>964</v>
      </c>
      <c r="G515" t="s">
        <v>943</v>
      </c>
      <c r="H515">
        <v>1</v>
      </c>
      <c r="I515">
        <v>190.58</v>
      </c>
      <c r="J515">
        <v>0.1</v>
      </c>
      <c r="K515" s="3">
        <v>19.057999999999993</v>
      </c>
      <c r="L515">
        <v>171.52200000000002</v>
      </c>
      <c r="M515">
        <v>23.782000000000011</v>
      </c>
      <c r="N515" t="str">
        <f>"P. "&amp;(Sales__tbl[[#This Row],[product_id]]&amp;"."&amp;TEXT(Sales__tbl[[#This Row],[selling_price]],"0.00"))</f>
        <v>P. P.id09.190.58</v>
      </c>
    </row>
    <row r="516" spans="1:14" x14ac:dyDescent="0.25">
      <c r="A516">
        <v>515</v>
      </c>
      <c r="B516" s="9" t="str">
        <f>TEXT(Sales__tbl[[#This Row],[date]],"MM")</f>
        <v>07</v>
      </c>
      <c r="C516" s="13">
        <v>45483</v>
      </c>
      <c r="D516" t="str">
        <f>_xlfn.XLOOKUP(Sales__tbl[[#This Row],[customer_id]],customer_tbl[customer_id],customer_tbl[Branch_id],"Not found")</f>
        <v>W01</v>
      </c>
      <c r="E516" t="s">
        <v>992</v>
      </c>
      <c r="F516" t="s">
        <v>958</v>
      </c>
      <c r="G516" t="s">
        <v>939</v>
      </c>
      <c r="H516">
        <v>1</v>
      </c>
      <c r="I516">
        <v>90.53</v>
      </c>
      <c r="J516">
        <v>0</v>
      </c>
      <c r="K516" s="3">
        <v>0</v>
      </c>
      <c r="L516">
        <v>90.53</v>
      </c>
      <c r="M516">
        <v>12.489999999999995</v>
      </c>
      <c r="N516" t="str">
        <f>"P. "&amp;(Sales__tbl[[#This Row],[product_id]]&amp;"."&amp;TEXT(Sales__tbl[[#This Row],[selling_price]],"0.00"))</f>
        <v>P. P.id03.90.53</v>
      </c>
    </row>
    <row r="517" spans="1:14" x14ac:dyDescent="0.25">
      <c r="A517">
        <v>516</v>
      </c>
      <c r="B517" s="9" t="str">
        <f>TEXT(Sales__tbl[[#This Row],[date]],"MM")</f>
        <v>07</v>
      </c>
      <c r="C517" s="13">
        <v>45484</v>
      </c>
      <c r="D517" t="str">
        <f>_xlfn.XLOOKUP(Sales__tbl[[#This Row],[customer_id]],customer_tbl[customer_id],customer_tbl[Branch_id],"Not found")</f>
        <v>S01</v>
      </c>
      <c r="E517" t="s">
        <v>1107</v>
      </c>
      <c r="F517" t="s">
        <v>957</v>
      </c>
      <c r="G517" t="s">
        <v>833</v>
      </c>
      <c r="H517">
        <v>1</v>
      </c>
      <c r="I517">
        <v>55.26</v>
      </c>
      <c r="J517">
        <v>0</v>
      </c>
      <c r="K517" s="3">
        <v>0</v>
      </c>
      <c r="L517">
        <v>55.26</v>
      </c>
      <c r="M517">
        <v>19.839999999999996</v>
      </c>
      <c r="N517" t="str">
        <f>"P. "&amp;(Sales__tbl[[#This Row],[product_id]]&amp;"."&amp;TEXT(Sales__tbl[[#This Row],[selling_price]],"0.00"))</f>
        <v>P. P.id02.55.26</v>
      </c>
    </row>
    <row r="518" spans="1:14" x14ac:dyDescent="0.25">
      <c r="A518">
        <v>517</v>
      </c>
      <c r="B518" s="9" t="str">
        <f>TEXT(Sales__tbl[[#This Row],[date]],"MM")</f>
        <v>07</v>
      </c>
      <c r="C518" s="13">
        <v>45485</v>
      </c>
      <c r="D518" t="str">
        <f>_xlfn.XLOOKUP(Sales__tbl[[#This Row],[customer_id]],customer_tbl[customer_id],customer_tbl[Branch_id],"Not found")</f>
        <v>C01</v>
      </c>
      <c r="E518" t="s">
        <v>1130</v>
      </c>
      <c r="F518" t="s">
        <v>967</v>
      </c>
      <c r="G518" t="s">
        <v>872</v>
      </c>
      <c r="H518">
        <v>1</v>
      </c>
      <c r="I518">
        <v>91.73</v>
      </c>
      <c r="J518">
        <v>0</v>
      </c>
      <c r="K518" s="3">
        <v>0</v>
      </c>
      <c r="L518">
        <v>91.73</v>
      </c>
      <c r="M518">
        <v>15.290000000000006</v>
      </c>
      <c r="N518" t="str">
        <f>"P. "&amp;(Sales__tbl[[#This Row],[product_id]]&amp;"."&amp;TEXT(Sales__tbl[[#This Row],[selling_price]],"0.00"))</f>
        <v>P. P.id12.91.73</v>
      </c>
    </row>
    <row r="519" spans="1:14" x14ac:dyDescent="0.25">
      <c r="A519">
        <v>518</v>
      </c>
      <c r="B519" s="9" t="str">
        <f>TEXT(Sales__tbl[[#This Row],[date]],"MM")</f>
        <v>07</v>
      </c>
      <c r="C519" s="13">
        <v>45486</v>
      </c>
      <c r="D519" t="str">
        <f>_xlfn.XLOOKUP(Sales__tbl[[#This Row],[customer_id]],customer_tbl[customer_id],customer_tbl[Branch_id],"Not found")</f>
        <v>C01</v>
      </c>
      <c r="E519" t="s">
        <v>1148</v>
      </c>
      <c r="F519" t="s">
        <v>961</v>
      </c>
      <c r="G519" t="s">
        <v>940</v>
      </c>
      <c r="H519">
        <v>1</v>
      </c>
      <c r="I519">
        <v>66.790000000000006</v>
      </c>
      <c r="J519">
        <v>0</v>
      </c>
      <c r="K519" s="3">
        <v>0</v>
      </c>
      <c r="L519">
        <v>66.790000000000006</v>
      </c>
      <c r="M519">
        <v>22.850000000000009</v>
      </c>
      <c r="N519" t="str">
        <f>"P. "&amp;(Sales__tbl[[#This Row],[product_id]]&amp;"."&amp;TEXT(Sales__tbl[[#This Row],[selling_price]],"0.00"))</f>
        <v>P. P.id06.66.79</v>
      </c>
    </row>
    <row r="520" spans="1:14" x14ac:dyDescent="0.25">
      <c r="A520">
        <v>519</v>
      </c>
      <c r="B520" s="9" t="str">
        <f>TEXT(Sales__tbl[[#This Row],[date]],"MM")</f>
        <v>07</v>
      </c>
      <c r="C520" s="13">
        <v>45487</v>
      </c>
      <c r="D520" t="str">
        <f>_xlfn.XLOOKUP(Sales__tbl[[#This Row],[customer_id]],customer_tbl[customer_id],customer_tbl[Branch_id],"Not found")</f>
        <v>N02</v>
      </c>
      <c r="E520" t="s">
        <v>1015</v>
      </c>
      <c r="F520" t="s">
        <v>964</v>
      </c>
      <c r="G520" t="s">
        <v>943</v>
      </c>
      <c r="H520">
        <v>3</v>
      </c>
      <c r="I520">
        <v>190.58</v>
      </c>
      <c r="J520">
        <v>0.2</v>
      </c>
      <c r="K520" s="3">
        <v>114.34799999999996</v>
      </c>
      <c r="L520">
        <v>457.39200000000005</v>
      </c>
      <c r="M520">
        <v>14.172000000000025</v>
      </c>
      <c r="N520" t="str">
        <f>"P. "&amp;(Sales__tbl[[#This Row],[product_id]]&amp;"."&amp;TEXT(Sales__tbl[[#This Row],[selling_price]],"0.00"))</f>
        <v>P. P.id09.190.58</v>
      </c>
    </row>
    <row r="521" spans="1:14" x14ac:dyDescent="0.25">
      <c r="A521">
        <v>520</v>
      </c>
      <c r="B521" s="9" t="str">
        <f>TEXT(Sales__tbl[[#This Row],[date]],"MM")</f>
        <v>07</v>
      </c>
      <c r="C521" s="13">
        <v>45488</v>
      </c>
      <c r="D521" t="str">
        <f>_xlfn.XLOOKUP(Sales__tbl[[#This Row],[customer_id]],customer_tbl[customer_id],customer_tbl[Branch_id],"Not found")</f>
        <v>S02</v>
      </c>
      <c r="E521" t="s">
        <v>1090</v>
      </c>
      <c r="F521" t="s">
        <v>965</v>
      </c>
      <c r="G521" t="s">
        <v>847</v>
      </c>
      <c r="H521">
        <v>2</v>
      </c>
      <c r="I521">
        <v>168</v>
      </c>
      <c r="J521">
        <v>0.15</v>
      </c>
      <c r="K521" s="3">
        <v>50.400000000000034</v>
      </c>
      <c r="L521">
        <v>285.59999999999997</v>
      </c>
      <c r="M521">
        <v>42.119999999999976</v>
      </c>
      <c r="N521" t="str">
        <f>"P. "&amp;(Sales__tbl[[#This Row],[product_id]]&amp;"."&amp;TEXT(Sales__tbl[[#This Row],[selling_price]],"0.00"))</f>
        <v>P. P.id10.168.00</v>
      </c>
    </row>
    <row r="522" spans="1:14" x14ac:dyDescent="0.25">
      <c r="A522">
        <v>521</v>
      </c>
      <c r="B522" s="9" t="str">
        <f>TEXT(Sales__tbl[[#This Row],[date]],"MM")</f>
        <v>07</v>
      </c>
      <c r="C522" s="13">
        <v>45489</v>
      </c>
      <c r="D522" t="str">
        <f>_xlfn.XLOOKUP(Sales__tbl[[#This Row],[customer_id]],customer_tbl[customer_id],customer_tbl[Branch_id],"Not found")</f>
        <v>S01</v>
      </c>
      <c r="E522" t="s">
        <v>1072</v>
      </c>
      <c r="F522" t="s">
        <v>959</v>
      </c>
      <c r="G522" t="s">
        <v>837</v>
      </c>
      <c r="H522">
        <v>2</v>
      </c>
      <c r="I522">
        <v>11.53</v>
      </c>
      <c r="J522">
        <v>0</v>
      </c>
      <c r="K522" s="3">
        <v>0</v>
      </c>
      <c r="L522">
        <v>23.06</v>
      </c>
      <c r="M522">
        <v>5.0399999999999991</v>
      </c>
      <c r="N522" t="str">
        <f>"P. "&amp;(Sales__tbl[[#This Row],[product_id]]&amp;"."&amp;TEXT(Sales__tbl[[#This Row],[selling_price]],"0.00"))</f>
        <v>P. P.id04.11.53</v>
      </c>
    </row>
    <row r="523" spans="1:14" x14ac:dyDescent="0.25">
      <c r="A523">
        <v>522</v>
      </c>
      <c r="B523" s="9" t="str">
        <f>TEXT(Sales__tbl[[#This Row],[date]],"MM")</f>
        <v>07</v>
      </c>
      <c r="C523" s="13">
        <v>45490</v>
      </c>
      <c r="D523" t="str">
        <f>_xlfn.XLOOKUP(Sales__tbl[[#This Row],[customer_id]],customer_tbl[customer_id],customer_tbl[Branch_id],"Not found")</f>
        <v>E01</v>
      </c>
      <c r="E523" t="s">
        <v>1040</v>
      </c>
      <c r="F523" t="s">
        <v>965</v>
      </c>
      <c r="G523" t="s">
        <v>847</v>
      </c>
      <c r="H523">
        <v>1</v>
      </c>
      <c r="I523">
        <v>168</v>
      </c>
      <c r="J523">
        <v>0.1</v>
      </c>
      <c r="K523" s="3">
        <v>16.799999999999983</v>
      </c>
      <c r="L523">
        <v>151.20000000000002</v>
      </c>
      <c r="M523">
        <v>29.460000000000022</v>
      </c>
      <c r="N523" t="str">
        <f>"P. "&amp;(Sales__tbl[[#This Row],[product_id]]&amp;"."&amp;TEXT(Sales__tbl[[#This Row],[selling_price]],"0.00"))</f>
        <v>P. P.id10.168.00</v>
      </c>
    </row>
    <row r="524" spans="1:14" x14ac:dyDescent="0.25">
      <c r="A524">
        <v>523</v>
      </c>
      <c r="B524" s="9" t="str">
        <f>TEXT(Sales__tbl[[#This Row],[date]],"MM")</f>
        <v>07</v>
      </c>
      <c r="C524" s="13">
        <v>45491</v>
      </c>
      <c r="D524" t="str">
        <f>_xlfn.XLOOKUP(Sales__tbl[[#This Row],[customer_id]],customer_tbl[customer_id],customer_tbl[Branch_id],"Not found")</f>
        <v>E02</v>
      </c>
      <c r="E524" t="s">
        <v>1126</v>
      </c>
      <c r="F524" t="s">
        <v>966</v>
      </c>
      <c r="G524" t="s">
        <v>851</v>
      </c>
      <c r="H524">
        <v>1</v>
      </c>
      <c r="I524">
        <v>196.75</v>
      </c>
      <c r="J524">
        <v>0.1</v>
      </c>
      <c r="K524" s="3">
        <v>19.674999999999983</v>
      </c>
      <c r="L524">
        <v>177.07500000000002</v>
      </c>
      <c r="M524">
        <v>20.925000000000011</v>
      </c>
      <c r="N524" t="str">
        <f>"P. "&amp;(Sales__tbl[[#This Row],[product_id]]&amp;"."&amp;TEXT(Sales__tbl[[#This Row],[selling_price]],"0.00"))</f>
        <v>P. P.id11.196.75</v>
      </c>
    </row>
    <row r="525" spans="1:14" x14ac:dyDescent="0.25">
      <c r="A525">
        <v>524</v>
      </c>
      <c r="B525" s="9" t="str">
        <f>TEXT(Sales__tbl[[#This Row],[date]],"MM")</f>
        <v>07</v>
      </c>
      <c r="C525" s="13">
        <v>45492</v>
      </c>
      <c r="D525" t="str">
        <f>_xlfn.XLOOKUP(Sales__tbl[[#This Row],[customer_id]],customer_tbl[customer_id],customer_tbl[Branch_id],"Not found")</f>
        <v>E02</v>
      </c>
      <c r="E525" t="s">
        <v>988</v>
      </c>
      <c r="F525" t="s">
        <v>960</v>
      </c>
      <c r="G525" t="s">
        <v>839</v>
      </c>
      <c r="H525">
        <v>1</v>
      </c>
      <c r="I525">
        <v>165.45</v>
      </c>
      <c r="J525">
        <v>0.1</v>
      </c>
      <c r="K525" s="3">
        <v>16.544999999999987</v>
      </c>
      <c r="L525">
        <v>148.905</v>
      </c>
      <c r="M525">
        <v>25.435000000000002</v>
      </c>
      <c r="N525" t="str">
        <f>"P. "&amp;(Sales__tbl[[#This Row],[product_id]]&amp;"."&amp;TEXT(Sales__tbl[[#This Row],[selling_price]],"0.00"))</f>
        <v>P. P.id05.165.45</v>
      </c>
    </row>
    <row r="526" spans="1:14" x14ac:dyDescent="0.25">
      <c r="A526">
        <v>525</v>
      </c>
      <c r="B526" s="9" t="str">
        <f>TEXT(Sales__tbl[[#This Row],[date]],"MM")</f>
        <v>07</v>
      </c>
      <c r="C526" s="13">
        <v>45493</v>
      </c>
      <c r="D526" t="str">
        <f>_xlfn.XLOOKUP(Sales__tbl[[#This Row],[customer_id]],customer_tbl[customer_id],customer_tbl[Branch_id],"Not found")</f>
        <v>E01</v>
      </c>
      <c r="E526" t="s">
        <v>1014</v>
      </c>
      <c r="F526" t="s">
        <v>960</v>
      </c>
      <c r="G526" t="s">
        <v>839</v>
      </c>
      <c r="H526">
        <v>1</v>
      </c>
      <c r="I526">
        <v>165.45</v>
      </c>
      <c r="J526">
        <v>0.1</v>
      </c>
      <c r="K526" s="3">
        <v>16.544999999999987</v>
      </c>
      <c r="L526">
        <v>148.905</v>
      </c>
      <c r="M526">
        <v>25.435000000000002</v>
      </c>
      <c r="N526" t="str">
        <f>"P. "&amp;(Sales__tbl[[#This Row],[product_id]]&amp;"."&amp;TEXT(Sales__tbl[[#This Row],[selling_price]],"0.00"))</f>
        <v>P. P.id05.165.45</v>
      </c>
    </row>
    <row r="527" spans="1:14" x14ac:dyDescent="0.25">
      <c r="A527">
        <v>526</v>
      </c>
      <c r="B527" s="9" t="str">
        <f>TEXT(Sales__tbl[[#This Row],[date]],"MM")</f>
        <v>07</v>
      </c>
      <c r="C527" s="13">
        <v>45494</v>
      </c>
      <c r="D527" t="str">
        <f>_xlfn.XLOOKUP(Sales__tbl[[#This Row],[customer_id]],customer_tbl[customer_id],customer_tbl[Branch_id],"Not found")</f>
        <v>C01</v>
      </c>
      <c r="E527" t="s">
        <v>1044</v>
      </c>
      <c r="F527" t="s">
        <v>963</v>
      </c>
      <c r="G527" t="s">
        <v>942</v>
      </c>
      <c r="H527">
        <v>1</v>
      </c>
      <c r="I527">
        <v>274.16000000000003</v>
      </c>
      <c r="J527">
        <v>0.1</v>
      </c>
      <c r="K527" s="3">
        <v>27.415999999999997</v>
      </c>
      <c r="L527">
        <v>246.74400000000003</v>
      </c>
      <c r="M527">
        <v>56.354000000000042</v>
      </c>
      <c r="N527" t="str">
        <f>"P. "&amp;(Sales__tbl[[#This Row],[product_id]]&amp;"."&amp;TEXT(Sales__tbl[[#This Row],[selling_price]],"0.00"))</f>
        <v>P. P.id08.274.16</v>
      </c>
    </row>
    <row r="528" spans="1:14" x14ac:dyDescent="0.25">
      <c r="A528">
        <v>527</v>
      </c>
      <c r="B528" s="9" t="str">
        <f>TEXT(Sales__tbl[[#This Row],[date]],"MM")</f>
        <v>07</v>
      </c>
      <c r="C528" s="13">
        <v>45495</v>
      </c>
      <c r="D528" t="str">
        <f>_xlfn.XLOOKUP(Sales__tbl[[#This Row],[customer_id]],customer_tbl[customer_id],customer_tbl[Branch_id],"Not found")</f>
        <v>C02</v>
      </c>
      <c r="E528" t="s">
        <v>1075</v>
      </c>
      <c r="F528" t="s">
        <v>963</v>
      </c>
      <c r="G528" t="s">
        <v>942</v>
      </c>
      <c r="H528">
        <v>1</v>
      </c>
      <c r="I528">
        <v>274.16000000000003</v>
      </c>
      <c r="J528">
        <v>0.1</v>
      </c>
      <c r="K528" s="3">
        <v>27.415999999999997</v>
      </c>
      <c r="L528">
        <v>246.74400000000003</v>
      </c>
      <c r="M528">
        <v>56.354000000000042</v>
      </c>
      <c r="N528" t="str">
        <f>"P. "&amp;(Sales__tbl[[#This Row],[product_id]]&amp;"."&amp;TEXT(Sales__tbl[[#This Row],[selling_price]],"0.00"))</f>
        <v>P. P.id08.274.16</v>
      </c>
    </row>
    <row r="529" spans="1:14" x14ac:dyDescent="0.25">
      <c r="A529">
        <v>528</v>
      </c>
      <c r="B529" s="9" t="str">
        <f>TEXT(Sales__tbl[[#This Row],[date]],"MM")</f>
        <v>07</v>
      </c>
      <c r="C529" s="13">
        <v>45496</v>
      </c>
      <c r="D529" t="str">
        <f>_xlfn.XLOOKUP(Sales__tbl[[#This Row],[customer_id]],customer_tbl[customer_id],customer_tbl[Branch_id],"Not found")</f>
        <v>W01</v>
      </c>
      <c r="E529" t="s">
        <v>992</v>
      </c>
      <c r="F529" t="s">
        <v>957</v>
      </c>
      <c r="G529" t="s">
        <v>833</v>
      </c>
      <c r="H529">
        <v>1</v>
      </c>
      <c r="I529">
        <v>55.26</v>
      </c>
      <c r="J529">
        <v>0</v>
      </c>
      <c r="K529" s="3">
        <v>0</v>
      </c>
      <c r="L529">
        <v>55.26</v>
      </c>
      <c r="M529">
        <v>19.839999999999996</v>
      </c>
      <c r="N529" t="str">
        <f>"P. "&amp;(Sales__tbl[[#This Row],[product_id]]&amp;"."&amp;TEXT(Sales__tbl[[#This Row],[selling_price]],"0.00"))</f>
        <v>P. P.id02.55.26</v>
      </c>
    </row>
    <row r="530" spans="1:14" x14ac:dyDescent="0.25">
      <c r="A530">
        <v>529</v>
      </c>
      <c r="B530" s="9" t="str">
        <f>TEXT(Sales__tbl[[#This Row],[date]],"MM")</f>
        <v>07</v>
      </c>
      <c r="C530" s="13">
        <v>45497</v>
      </c>
      <c r="D530" t="str">
        <f>_xlfn.XLOOKUP(Sales__tbl[[#This Row],[customer_id]],customer_tbl[customer_id],customer_tbl[Branch_id],"Not found")</f>
        <v>E01</v>
      </c>
      <c r="E530" t="s">
        <v>1180</v>
      </c>
      <c r="F530" t="s">
        <v>966</v>
      </c>
      <c r="G530" t="s">
        <v>851</v>
      </c>
      <c r="H530">
        <v>2</v>
      </c>
      <c r="I530">
        <v>196.75</v>
      </c>
      <c r="J530">
        <v>0.15</v>
      </c>
      <c r="K530" s="3">
        <v>59.025000000000034</v>
      </c>
      <c r="L530">
        <v>334.47499999999997</v>
      </c>
      <c r="M530">
        <v>22.174999999999955</v>
      </c>
      <c r="N530" t="str">
        <f>"P. "&amp;(Sales__tbl[[#This Row],[product_id]]&amp;"."&amp;TEXT(Sales__tbl[[#This Row],[selling_price]],"0.00"))</f>
        <v>P. P.id11.196.75</v>
      </c>
    </row>
    <row r="531" spans="1:14" x14ac:dyDescent="0.25">
      <c r="A531">
        <v>530</v>
      </c>
      <c r="B531" s="9" t="str">
        <f>TEXT(Sales__tbl[[#This Row],[date]],"MM")</f>
        <v>07</v>
      </c>
      <c r="C531" s="13">
        <v>45498</v>
      </c>
      <c r="D531" t="str">
        <f>_xlfn.XLOOKUP(Sales__tbl[[#This Row],[customer_id]],customer_tbl[customer_id],customer_tbl[Branch_id],"Not found")</f>
        <v>E02</v>
      </c>
      <c r="E531" t="s">
        <v>1158</v>
      </c>
      <c r="F531" t="s">
        <v>965</v>
      </c>
      <c r="G531" t="s">
        <v>847</v>
      </c>
      <c r="H531">
        <v>1</v>
      </c>
      <c r="I531">
        <v>168</v>
      </c>
      <c r="J531">
        <v>0.1</v>
      </c>
      <c r="K531" s="3">
        <v>16.799999999999983</v>
      </c>
      <c r="L531">
        <v>151.20000000000002</v>
      </c>
      <c r="M531">
        <v>29.460000000000022</v>
      </c>
      <c r="N531" t="str">
        <f>"P. "&amp;(Sales__tbl[[#This Row],[product_id]]&amp;"."&amp;TEXT(Sales__tbl[[#This Row],[selling_price]],"0.00"))</f>
        <v>P. P.id10.168.00</v>
      </c>
    </row>
    <row r="532" spans="1:14" x14ac:dyDescent="0.25">
      <c r="A532">
        <v>531</v>
      </c>
      <c r="B532" s="9" t="str">
        <f>TEXT(Sales__tbl[[#This Row],[date]],"MM")</f>
        <v>07</v>
      </c>
      <c r="C532" s="13">
        <v>45499</v>
      </c>
      <c r="D532" t="str">
        <f>_xlfn.XLOOKUP(Sales__tbl[[#This Row],[customer_id]],customer_tbl[customer_id],customer_tbl[Branch_id],"Not found")</f>
        <v>W02</v>
      </c>
      <c r="E532" t="s">
        <v>997</v>
      </c>
      <c r="F532" t="s">
        <v>961</v>
      </c>
      <c r="G532" t="s">
        <v>940</v>
      </c>
      <c r="H532">
        <v>1</v>
      </c>
      <c r="I532">
        <v>66.790000000000006</v>
      </c>
      <c r="J532">
        <v>0</v>
      </c>
      <c r="K532" s="3">
        <v>0</v>
      </c>
      <c r="L532">
        <v>66.790000000000006</v>
      </c>
      <c r="M532">
        <v>22.850000000000009</v>
      </c>
      <c r="N532" t="str">
        <f>"P. "&amp;(Sales__tbl[[#This Row],[product_id]]&amp;"."&amp;TEXT(Sales__tbl[[#This Row],[selling_price]],"0.00"))</f>
        <v>P. P.id06.66.79</v>
      </c>
    </row>
    <row r="533" spans="1:14" x14ac:dyDescent="0.25">
      <c r="A533">
        <v>532</v>
      </c>
      <c r="B533" s="9" t="str">
        <f>TEXT(Sales__tbl[[#This Row],[date]],"MM")</f>
        <v>07</v>
      </c>
      <c r="C533" s="13">
        <v>45500</v>
      </c>
      <c r="D533" t="str">
        <f>_xlfn.XLOOKUP(Sales__tbl[[#This Row],[customer_id]],customer_tbl[customer_id],customer_tbl[Branch_id],"Not found")</f>
        <v>N01</v>
      </c>
      <c r="E533" t="s">
        <v>1139</v>
      </c>
      <c r="F533" t="s">
        <v>964</v>
      </c>
      <c r="G533" t="s">
        <v>943</v>
      </c>
      <c r="H533">
        <v>2</v>
      </c>
      <c r="I533">
        <v>190.58</v>
      </c>
      <c r="J533">
        <v>0.15</v>
      </c>
      <c r="K533" s="3">
        <v>57.174000000000035</v>
      </c>
      <c r="L533">
        <v>323.98599999999999</v>
      </c>
      <c r="M533">
        <v>28.505999999999972</v>
      </c>
      <c r="N533" t="str">
        <f>"P. "&amp;(Sales__tbl[[#This Row],[product_id]]&amp;"."&amp;TEXT(Sales__tbl[[#This Row],[selling_price]],"0.00"))</f>
        <v>P. P.id09.190.58</v>
      </c>
    </row>
    <row r="534" spans="1:14" x14ac:dyDescent="0.25">
      <c r="A534">
        <v>533</v>
      </c>
      <c r="B534" s="9" t="str">
        <f>TEXT(Sales__tbl[[#This Row],[date]],"MM")</f>
        <v>07</v>
      </c>
      <c r="C534" s="13">
        <v>45501</v>
      </c>
      <c r="D534" t="str">
        <f>_xlfn.XLOOKUP(Sales__tbl[[#This Row],[customer_id]],customer_tbl[customer_id],customer_tbl[Branch_id],"Not found")</f>
        <v>E02</v>
      </c>
      <c r="E534" t="s">
        <v>1154</v>
      </c>
      <c r="F534" t="s">
        <v>961</v>
      </c>
      <c r="G534" t="s">
        <v>940</v>
      </c>
      <c r="H534">
        <v>1</v>
      </c>
      <c r="I534">
        <v>66.790000000000006</v>
      </c>
      <c r="J534">
        <v>0</v>
      </c>
      <c r="K534" s="3">
        <v>0</v>
      </c>
      <c r="L534">
        <v>66.790000000000006</v>
      </c>
      <c r="M534">
        <v>22.850000000000009</v>
      </c>
      <c r="N534" t="str">
        <f>"P. "&amp;(Sales__tbl[[#This Row],[product_id]]&amp;"."&amp;TEXT(Sales__tbl[[#This Row],[selling_price]],"0.00"))</f>
        <v>P. P.id06.66.79</v>
      </c>
    </row>
    <row r="535" spans="1:14" x14ac:dyDescent="0.25">
      <c r="A535">
        <v>534</v>
      </c>
      <c r="B535" s="9" t="str">
        <f>TEXT(Sales__tbl[[#This Row],[date]],"MM")</f>
        <v>07</v>
      </c>
      <c r="C535" s="13">
        <v>45502</v>
      </c>
      <c r="D535" t="str">
        <f>_xlfn.XLOOKUP(Sales__tbl[[#This Row],[customer_id]],customer_tbl[customer_id],customer_tbl[Branch_id],"Not found")</f>
        <v>C01</v>
      </c>
      <c r="E535" t="s">
        <v>1127</v>
      </c>
      <c r="F535" t="s">
        <v>967</v>
      </c>
      <c r="G535" t="s">
        <v>872</v>
      </c>
      <c r="H535">
        <v>1</v>
      </c>
      <c r="I535">
        <v>91.73</v>
      </c>
      <c r="J535">
        <v>0</v>
      </c>
      <c r="K535" s="3">
        <v>0</v>
      </c>
      <c r="L535">
        <v>91.73</v>
      </c>
      <c r="M535">
        <v>15.290000000000006</v>
      </c>
      <c r="N535" t="str">
        <f>"P. "&amp;(Sales__tbl[[#This Row],[product_id]]&amp;"."&amp;TEXT(Sales__tbl[[#This Row],[selling_price]],"0.00"))</f>
        <v>P. P.id12.91.73</v>
      </c>
    </row>
    <row r="536" spans="1:14" x14ac:dyDescent="0.25">
      <c r="A536">
        <v>535</v>
      </c>
      <c r="B536" s="9" t="str">
        <f>TEXT(Sales__tbl[[#This Row],[date]],"MM")</f>
        <v>07</v>
      </c>
      <c r="C536" s="13">
        <v>45503</v>
      </c>
      <c r="D536" t="str">
        <f>_xlfn.XLOOKUP(Sales__tbl[[#This Row],[customer_id]],customer_tbl[customer_id],customer_tbl[Branch_id],"Not found")</f>
        <v>S01</v>
      </c>
      <c r="E536" t="s">
        <v>1023</v>
      </c>
      <c r="F536" t="s">
        <v>957</v>
      </c>
      <c r="G536" t="s">
        <v>833</v>
      </c>
      <c r="H536">
        <v>1</v>
      </c>
      <c r="I536">
        <v>55.26</v>
      </c>
      <c r="J536">
        <v>0</v>
      </c>
      <c r="K536" s="3">
        <v>0</v>
      </c>
      <c r="L536">
        <v>55.26</v>
      </c>
      <c r="M536">
        <v>19.839999999999996</v>
      </c>
      <c r="N536" t="str">
        <f>"P. "&amp;(Sales__tbl[[#This Row],[product_id]]&amp;"."&amp;TEXT(Sales__tbl[[#This Row],[selling_price]],"0.00"))</f>
        <v>P. P.id02.55.26</v>
      </c>
    </row>
    <row r="537" spans="1:14" x14ac:dyDescent="0.25">
      <c r="A537">
        <v>536</v>
      </c>
      <c r="B537" s="9" t="str">
        <f>TEXT(Sales__tbl[[#This Row],[date]],"MM")</f>
        <v>07</v>
      </c>
      <c r="C537" s="13">
        <v>45504</v>
      </c>
      <c r="D537" t="str">
        <f>_xlfn.XLOOKUP(Sales__tbl[[#This Row],[customer_id]],customer_tbl[customer_id],customer_tbl[Branch_id],"Not found")</f>
        <v>C02</v>
      </c>
      <c r="E537" t="s">
        <v>1081</v>
      </c>
      <c r="F537" t="s">
        <v>965</v>
      </c>
      <c r="G537" t="s">
        <v>847</v>
      </c>
      <c r="H537">
        <v>1</v>
      </c>
      <c r="I537">
        <v>168</v>
      </c>
      <c r="J537">
        <v>0.1</v>
      </c>
      <c r="K537" s="3">
        <v>16.799999999999983</v>
      </c>
      <c r="L537">
        <v>151.20000000000002</v>
      </c>
      <c r="M537">
        <v>29.460000000000022</v>
      </c>
      <c r="N537" t="str">
        <f>"P. "&amp;(Sales__tbl[[#This Row],[product_id]]&amp;"."&amp;TEXT(Sales__tbl[[#This Row],[selling_price]],"0.00"))</f>
        <v>P. P.id10.168.00</v>
      </c>
    </row>
    <row r="538" spans="1:14" x14ac:dyDescent="0.25">
      <c r="A538">
        <v>537</v>
      </c>
      <c r="B538" s="9" t="str">
        <f>TEXT(Sales__tbl[[#This Row],[date]],"MM")</f>
        <v>08</v>
      </c>
      <c r="C538" s="13">
        <v>45505</v>
      </c>
      <c r="D538" t="str">
        <f>_xlfn.XLOOKUP(Sales__tbl[[#This Row],[customer_id]],customer_tbl[customer_id],customer_tbl[Branch_id],"Not found")</f>
        <v>E01</v>
      </c>
      <c r="E538" t="s">
        <v>1094</v>
      </c>
      <c r="F538" t="s">
        <v>964</v>
      </c>
      <c r="G538" t="s">
        <v>943</v>
      </c>
      <c r="H538">
        <v>1</v>
      </c>
      <c r="I538">
        <v>190.58</v>
      </c>
      <c r="J538">
        <v>0.1</v>
      </c>
      <c r="K538" s="3">
        <v>19.057999999999993</v>
      </c>
      <c r="L538">
        <v>171.52200000000002</v>
      </c>
      <c r="M538">
        <v>23.782000000000011</v>
      </c>
      <c r="N538" t="str">
        <f>"P. "&amp;(Sales__tbl[[#This Row],[product_id]]&amp;"."&amp;TEXT(Sales__tbl[[#This Row],[selling_price]],"0.00"))</f>
        <v>P. P.id09.190.58</v>
      </c>
    </row>
    <row r="539" spans="1:14" x14ac:dyDescent="0.25">
      <c r="A539">
        <v>538</v>
      </c>
      <c r="B539" s="9" t="str">
        <f>TEXT(Sales__tbl[[#This Row],[date]],"MM")</f>
        <v>08</v>
      </c>
      <c r="C539" s="13">
        <v>45506</v>
      </c>
      <c r="D539" t="str">
        <f>_xlfn.XLOOKUP(Sales__tbl[[#This Row],[customer_id]],customer_tbl[customer_id],customer_tbl[Branch_id],"Not found")</f>
        <v>E02</v>
      </c>
      <c r="E539" t="s">
        <v>1154</v>
      </c>
      <c r="F539" t="s">
        <v>963</v>
      </c>
      <c r="G539" t="s">
        <v>942</v>
      </c>
      <c r="H539">
        <v>1</v>
      </c>
      <c r="I539">
        <v>274.16000000000003</v>
      </c>
      <c r="J539">
        <v>0.1</v>
      </c>
      <c r="K539" s="3">
        <v>27.415999999999997</v>
      </c>
      <c r="L539">
        <v>246.74400000000003</v>
      </c>
      <c r="M539">
        <v>56.354000000000042</v>
      </c>
      <c r="N539" t="str">
        <f>"P. "&amp;(Sales__tbl[[#This Row],[product_id]]&amp;"."&amp;TEXT(Sales__tbl[[#This Row],[selling_price]],"0.00"))</f>
        <v>P. P.id08.274.16</v>
      </c>
    </row>
    <row r="540" spans="1:14" x14ac:dyDescent="0.25">
      <c r="A540">
        <v>539</v>
      </c>
      <c r="B540" s="9" t="str">
        <f>TEXT(Sales__tbl[[#This Row],[date]],"MM")</f>
        <v>08</v>
      </c>
      <c r="C540" s="13">
        <v>45507</v>
      </c>
      <c r="D540" t="str">
        <f>_xlfn.XLOOKUP(Sales__tbl[[#This Row],[customer_id]],customer_tbl[customer_id],customer_tbl[Branch_id],"Not found")</f>
        <v>C01</v>
      </c>
      <c r="E540" t="s">
        <v>1130</v>
      </c>
      <c r="F540" t="s">
        <v>960</v>
      </c>
      <c r="G540" t="s">
        <v>839</v>
      </c>
      <c r="H540">
        <v>2</v>
      </c>
      <c r="I540">
        <v>165.45</v>
      </c>
      <c r="J540">
        <v>0.15</v>
      </c>
      <c r="K540" s="3">
        <v>49.634999999999991</v>
      </c>
      <c r="L540">
        <v>281.26499999999999</v>
      </c>
      <c r="M540">
        <v>34.324999999999989</v>
      </c>
      <c r="N540" t="str">
        <f>"P. "&amp;(Sales__tbl[[#This Row],[product_id]]&amp;"."&amp;TEXT(Sales__tbl[[#This Row],[selling_price]],"0.00"))</f>
        <v>P. P.id05.165.45</v>
      </c>
    </row>
    <row r="541" spans="1:14" x14ac:dyDescent="0.25">
      <c r="A541">
        <v>540</v>
      </c>
      <c r="B541" s="9" t="str">
        <f>TEXT(Sales__tbl[[#This Row],[date]],"MM")</f>
        <v>08</v>
      </c>
      <c r="C541" s="13">
        <v>45508</v>
      </c>
      <c r="D541" t="str">
        <f>_xlfn.XLOOKUP(Sales__tbl[[#This Row],[customer_id]],customer_tbl[customer_id],customer_tbl[Branch_id],"Not found")</f>
        <v>E01</v>
      </c>
      <c r="E541" t="s">
        <v>1050</v>
      </c>
      <c r="F541" t="s">
        <v>958</v>
      </c>
      <c r="G541" t="s">
        <v>939</v>
      </c>
      <c r="H541">
        <v>1</v>
      </c>
      <c r="I541">
        <v>90.53</v>
      </c>
      <c r="J541">
        <v>0</v>
      </c>
      <c r="K541" s="3">
        <v>0</v>
      </c>
      <c r="L541">
        <v>90.53</v>
      </c>
      <c r="M541">
        <v>12.489999999999995</v>
      </c>
      <c r="N541" t="str">
        <f>"P. "&amp;(Sales__tbl[[#This Row],[product_id]]&amp;"."&amp;TEXT(Sales__tbl[[#This Row],[selling_price]],"0.00"))</f>
        <v>P. P.id03.90.53</v>
      </c>
    </row>
    <row r="542" spans="1:14" x14ac:dyDescent="0.25">
      <c r="A542">
        <v>541</v>
      </c>
      <c r="B542" s="9" t="str">
        <f>TEXT(Sales__tbl[[#This Row],[date]],"MM")</f>
        <v>08</v>
      </c>
      <c r="C542" s="13">
        <v>45509</v>
      </c>
      <c r="D542" t="str">
        <f>_xlfn.XLOOKUP(Sales__tbl[[#This Row],[customer_id]],customer_tbl[customer_id],customer_tbl[Branch_id],"Not found")</f>
        <v>C02</v>
      </c>
      <c r="E542" t="s">
        <v>1000</v>
      </c>
      <c r="F542" t="s">
        <v>956</v>
      </c>
      <c r="G542" t="s">
        <v>831</v>
      </c>
      <c r="H542">
        <v>2</v>
      </c>
      <c r="I542">
        <v>303.48</v>
      </c>
      <c r="J542">
        <v>0.2</v>
      </c>
      <c r="K542" s="3">
        <v>121.392</v>
      </c>
      <c r="L542">
        <v>485.56800000000004</v>
      </c>
      <c r="M542">
        <v>98.968000000000018</v>
      </c>
      <c r="N542" t="str">
        <f>"P. "&amp;(Sales__tbl[[#This Row],[product_id]]&amp;"."&amp;TEXT(Sales__tbl[[#This Row],[selling_price]],"0.00"))</f>
        <v>P. P.id01.303.48</v>
      </c>
    </row>
    <row r="543" spans="1:14" x14ac:dyDescent="0.25">
      <c r="A543">
        <v>542</v>
      </c>
      <c r="B543" s="9" t="str">
        <f>TEXT(Sales__tbl[[#This Row],[date]],"MM")</f>
        <v>08</v>
      </c>
      <c r="C543" s="13">
        <v>45510</v>
      </c>
      <c r="D543" t="str">
        <f>_xlfn.XLOOKUP(Sales__tbl[[#This Row],[customer_id]],customer_tbl[customer_id],customer_tbl[Branch_id],"Not found")</f>
        <v>S01</v>
      </c>
      <c r="E543" t="s">
        <v>1076</v>
      </c>
      <c r="F543" t="s">
        <v>958</v>
      </c>
      <c r="G543" t="s">
        <v>939</v>
      </c>
      <c r="H543">
        <v>2</v>
      </c>
      <c r="I543">
        <v>90.53</v>
      </c>
      <c r="J543">
        <v>0.1</v>
      </c>
      <c r="K543" s="3">
        <v>18.105999999999995</v>
      </c>
      <c r="L543">
        <v>162.95400000000001</v>
      </c>
      <c r="M543">
        <v>6.8739999999999952</v>
      </c>
      <c r="N543" t="str">
        <f>"P. "&amp;(Sales__tbl[[#This Row],[product_id]]&amp;"."&amp;TEXT(Sales__tbl[[#This Row],[selling_price]],"0.00"))</f>
        <v>P. P.id03.90.53</v>
      </c>
    </row>
    <row r="544" spans="1:14" x14ac:dyDescent="0.25">
      <c r="A544">
        <v>543</v>
      </c>
      <c r="B544" s="9" t="str">
        <f>TEXT(Sales__tbl[[#This Row],[date]],"MM")</f>
        <v>08</v>
      </c>
      <c r="C544" s="13">
        <v>45511</v>
      </c>
      <c r="D544" t="str">
        <f>_xlfn.XLOOKUP(Sales__tbl[[#This Row],[customer_id]],customer_tbl[customer_id],customer_tbl[Branch_id],"Not found")</f>
        <v>S01</v>
      </c>
      <c r="E544" t="s">
        <v>989</v>
      </c>
      <c r="F544" t="s">
        <v>965</v>
      </c>
      <c r="G544" t="s">
        <v>847</v>
      </c>
      <c r="H544">
        <v>1</v>
      </c>
      <c r="I544">
        <v>168</v>
      </c>
      <c r="J544">
        <v>0.1</v>
      </c>
      <c r="K544" s="3">
        <v>16.799999999999983</v>
      </c>
      <c r="L544">
        <v>151.20000000000002</v>
      </c>
      <c r="M544">
        <v>29.460000000000022</v>
      </c>
      <c r="N544" t="str">
        <f>"P. "&amp;(Sales__tbl[[#This Row],[product_id]]&amp;"."&amp;TEXT(Sales__tbl[[#This Row],[selling_price]],"0.00"))</f>
        <v>P. P.id10.168.00</v>
      </c>
    </row>
    <row r="545" spans="1:14" x14ac:dyDescent="0.25">
      <c r="A545">
        <v>544</v>
      </c>
      <c r="B545" s="9" t="str">
        <f>TEXT(Sales__tbl[[#This Row],[date]],"MM")</f>
        <v>08</v>
      </c>
      <c r="C545" s="13">
        <v>45512</v>
      </c>
      <c r="D545" t="str">
        <f>_xlfn.XLOOKUP(Sales__tbl[[#This Row],[customer_id]],customer_tbl[customer_id],customer_tbl[Branch_id],"Not found")</f>
        <v>E01</v>
      </c>
      <c r="E545" t="s">
        <v>1180</v>
      </c>
      <c r="F545" t="s">
        <v>962</v>
      </c>
      <c r="G545" t="s">
        <v>941</v>
      </c>
      <c r="H545">
        <v>1</v>
      </c>
      <c r="I545">
        <v>259.11</v>
      </c>
      <c r="J545">
        <v>0.1</v>
      </c>
      <c r="K545" s="3">
        <v>25.911000000000001</v>
      </c>
      <c r="L545">
        <v>233.19900000000001</v>
      </c>
      <c r="M545">
        <v>59.299000000000007</v>
      </c>
      <c r="N545" t="str">
        <f>"P. "&amp;(Sales__tbl[[#This Row],[product_id]]&amp;"."&amp;TEXT(Sales__tbl[[#This Row],[selling_price]],"0.00"))</f>
        <v>P. P.id07.259.11</v>
      </c>
    </row>
    <row r="546" spans="1:14" x14ac:dyDescent="0.25">
      <c r="A546">
        <v>545</v>
      </c>
      <c r="B546" s="9" t="str">
        <f>TEXT(Sales__tbl[[#This Row],[date]],"MM")</f>
        <v>08</v>
      </c>
      <c r="C546" s="13">
        <v>45513</v>
      </c>
      <c r="D546" t="str">
        <f>_xlfn.XLOOKUP(Sales__tbl[[#This Row],[customer_id]],customer_tbl[customer_id],customer_tbl[Branch_id],"Not found")</f>
        <v>E01</v>
      </c>
      <c r="E546" t="s">
        <v>1050</v>
      </c>
      <c r="F546" t="s">
        <v>957</v>
      </c>
      <c r="G546" t="s">
        <v>833</v>
      </c>
      <c r="H546">
        <v>1</v>
      </c>
      <c r="I546">
        <v>55.26</v>
      </c>
      <c r="J546">
        <v>0</v>
      </c>
      <c r="K546" s="3">
        <v>0</v>
      </c>
      <c r="L546">
        <v>55.26</v>
      </c>
      <c r="M546">
        <v>19.839999999999996</v>
      </c>
      <c r="N546" t="str">
        <f>"P. "&amp;(Sales__tbl[[#This Row],[product_id]]&amp;"."&amp;TEXT(Sales__tbl[[#This Row],[selling_price]],"0.00"))</f>
        <v>P. P.id02.55.26</v>
      </c>
    </row>
    <row r="547" spans="1:14" x14ac:dyDescent="0.25">
      <c r="A547">
        <v>546</v>
      </c>
      <c r="B547" s="9" t="str">
        <f>TEXT(Sales__tbl[[#This Row],[date]],"MM")</f>
        <v>08</v>
      </c>
      <c r="C547" s="13">
        <v>45514</v>
      </c>
      <c r="D547" t="str">
        <f>_xlfn.XLOOKUP(Sales__tbl[[#This Row],[customer_id]],customer_tbl[customer_id],customer_tbl[Branch_id],"Not found")</f>
        <v>N01</v>
      </c>
      <c r="E547" t="s">
        <v>1052</v>
      </c>
      <c r="F547" t="s">
        <v>961</v>
      </c>
      <c r="G547" t="s">
        <v>940</v>
      </c>
      <c r="H547">
        <v>1</v>
      </c>
      <c r="I547">
        <v>66.790000000000006</v>
      </c>
      <c r="J547">
        <v>0</v>
      </c>
      <c r="K547" s="3">
        <v>0</v>
      </c>
      <c r="L547">
        <v>66.790000000000006</v>
      </c>
      <c r="M547">
        <v>22.850000000000009</v>
      </c>
      <c r="N547" t="str">
        <f>"P. "&amp;(Sales__tbl[[#This Row],[product_id]]&amp;"."&amp;TEXT(Sales__tbl[[#This Row],[selling_price]],"0.00"))</f>
        <v>P. P.id06.66.79</v>
      </c>
    </row>
    <row r="548" spans="1:14" x14ac:dyDescent="0.25">
      <c r="A548">
        <v>547</v>
      </c>
      <c r="B548" s="9" t="str">
        <f>TEXT(Sales__tbl[[#This Row],[date]],"MM")</f>
        <v>08</v>
      </c>
      <c r="C548" s="13">
        <v>45515</v>
      </c>
      <c r="D548" t="str">
        <f>_xlfn.XLOOKUP(Sales__tbl[[#This Row],[customer_id]],customer_tbl[customer_id],customer_tbl[Branch_id],"Not found")</f>
        <v>W02</v>
      </c>
      <c r="E548" t="s">
        <v>1182</v>
      </c>
      <c r="F548" t="s">
        <v>965</v>
      </c>
      <c r="G548" t="s">
        <v>847</v>
      </c>
      <c r="H548">
        <v>1</v>
      </c>
      <c r="I548">
        <v>168</v>
      </c>
      <c r="J548">
        <v>0.1</v>
      </c>
      <c r="K548" s="3">
        <v>16.799999999999983</v>
      </c>
      <c r="L548">
        <v>151.20000000000002</v>
      </c>
      <c r="M548">
        <v>29.460000000000022</v>
      </c>
      <c r="N548" t="str">
        <f>"P. "&amp;(Sales__tbl[[#This Row],[product_id]]&amp;"."&amp;TEXT(Sales__tbl[[#This Row],[selling_price]],"0.00"))</f>
        <v>P. P.id10.168.00</v>
      </c>
    </row>
    <row r="549" spans="1:14" x14ac:dyDescent="0.25">
      <c r="A549">
        <v>548</v>
      </c>
      <c r="B549" s="9" t="str">
        <f>TEXT(Sales__tbl[[#This Row],[date]],"MM")</f>
        <v>08</v>
      </c>
      <c r="C549" s="13">
        <v>45516</v>
      </c>
      <c r="D549" t="str">
        <f>_xlfn.XLOOKUP(Sales__tbl[[#This Row],[customer_id]],customer_tbl[customer_id],customer_tbl[Branch_id],"Not found")</f>
        <v>S01</v>
      </c>
      <c r="E549" t="s">
        <v>1171</v>
      </c>
      <c r="F549" t="s">
        <v>960</v>
      </c>
      <c r="G549" t="s">
        <v>839</v>
      </c>
      <c r="H549">
        <v>1</v>
      </c>
      <c r="I549">
        <v>165.45</v>
      </c>
      <c r="J549">
        <v>0.1</v>
      </c>
      <c r="K549" s="3">
        <v>16.544999999999987</v>
      </c>
      <c r="L549">
        <v>148.905</v>
      </c>
      <c r="M549">
        <v>25.435000000000002</v>
      </c>
      <c r="N549" t="str">
        <f>"P. "&amp;(Sales__tbl[[#This Row],[product_id]]&amp;"."&amp;TEXT(Sales__tbl[[#This Row],[selling_price]],"0.00"))</f>
        <v>P. P.id05.165.45</v>
      </c>
    </row>
    <row r="550" spans="1:14" x14ac:dyDescent="0.25">
      <c r="A550">
        <v>549</v>
      </c>
      <c r="B550" s="9" t="str">
        <f>TEXT(Sales__tbl[[#This Row],[date]],"MM")</f>
        <v>08</v>
      </c>
      <c r="C550" s="13">
        <v>45517</v>
      </c>
      <c r="D550" t="str">
        <f>_xlfn.XLOOKUP(Sales__tbl[[#This Row],[customer_id]],customer_tbl[customer_id],customer_tbl[Branch_id],"Not found")</f>
        <v>N02</v>
      </c>
      <c r="E550" t="s">
        <v>1067</v>
      </c>
      <c r="F550" t="s">
        <v>961</v>
      </c>
      <c r="G550" t="s">
        <v>940</v>
      </c>
      <c r="H550">
        <v>1</v>
      </c>
      <c r="I550">
        <v>66.790000000000006</v>
      </c>
      <c r="J550">
        <v>0</v>
      </c>
      <c r="K550" s="3">
        <v>0</v>
      </c>
      <c r="L550">
        <v>66.790000000000006</v>
      </c>
      <c r="M550">
        <v>22.850000000000009</v>
      </c>
      <c r="N550" t="str">
        <f>"P. "&amp;(Sales__tbl[[#This Row],[product_id]]&amp;"."&amp;TEXT(Sales__tbl[[#This Row],[selling_price]],"0.00"))</f>
        <v>P. P.id06.66.79</v>
      </c>
    </row>
    <row r="551" spans="1:14" x14ac:dyDescent="0.25">
      <c r="A551">
        <v>550</v>
      </c>
      <c r="B551" s="9" t="str">
        <f>TEXT(Sales__tbl[[#This Row],[date]],"MM")</f>
        <v>08</v>
      </c>
      <c r="C551" s="13">
        <v>45518</v>
      </c>
      <c r="D551" t="str">
        <f>_xlfn.XLOOKUP(Sales__tbl[[#This Row],[customer_id]],customer_tbl[customer_id],customer_tbl[Branch_id],"Not found")</f>
        <v>C01</v>
      </c>
      <c r="E551" t="s">
        <v>1010</v>
      </c>
      <c r="F551" t="s">
        <v>960</v>
      </c>
      <c r="G551" t="s">
        <v>839</v>
      </c>
      <c r="H551">
        <v>1</v>
      </c>
      <c r="I551">
        <v>165.45</v>
      </c>
      <c r="J551">
        <v>0.1</v>
      </c>
      <c r="K551" s="3">
        <v>16.544999999999987</v>
      </c>
      <c r="L551">
        <v>148.905</v>
      </c>
      <c r="M551">
        <v>25.435000000000002</v>
      </c>
      <c r="N551" t="str">
        <f>"P. "&amp;(Sales__tbl[[#This Row],[product_id]]&amp;"."&amp;TEXT(Sales__tbl[[#This Row],[selling_price]],"0.00"))</f>
        <v>P. P.id05.165.45</v>
      </c>
    </row>
    <row r="552" spans="1:14" x14ac:dyDescent="0.25">
      <c r="A552">
        <v>551</v>
      </c>
      <c r="B552" s="9" t="str">
        <f>TEXT(Sales__tbl[[#This Row],[date]],"MM")</f>
        <v>08</v>
      </c>
      <c r="C552" s="13">
        <v>45519</v>
      </c>
      <c r="D552" t="str">
        <f>_xlfn.XLOOKUP(Sales__tbl[[#This Row],[customer_id]],customer_tbl[customer_id],customer_tbl[Branch_id],"Not found")</f>
        <v>S01</v>
      </c>
      <c r="E552" t="s">
        <v>1163</v>
      </c>
      <c r="F552" t="s">
        <v>957</v>
      </c>
      <c r="G552" t="s">
        <v>833</v>
      </c>
      <c r="H552">
        <v>1</v>
      </c>
      <c r="I552">
        <v>55.26</v>
      </c>
      <c r="J552">
        <v>0</v>
      </c>
      <c r="K552" s="3">
        <v>0</v>
      </c>
      <c r="L552">
        <v>55.26</v>
      </c>
      <c r="M552">
        <v>19.839999999999996</v>
      </c>
      <c r="N552" t="str">
        <f>"P. "&amp;(Sales__tbl[[#This Row],[product_id]]&amp;"."&amp;TEXT(Sales__tbl[[#This Row],[selling_price]],"0.00"))</f>
        <v>P. P.id02.55.26</v>
      </c>
    </row>
    <row r="553" spans="1:14" x14ac:dyDescent="0.25">
      <c r="A553">
        <v>552</v>
      </c>
      <c r="B553" s="9" t="str">
        <f>TEXT(Sales__tbl[[#This Row],[date]],"MM")</f>
        <v>08</v>
      </c>
      <c r="C553" s="13">
        <v>45520</v>
      </c>
      <c r="D553" t="str">
        <f>_xlfn.XLOOKUP(Sales__tbl[[#This Row],[customer_id]],customer_tbl[customer_id],customer_tbl[Branch_id],"Not found")</f>
        <v>N02</v>
      </c>
      <c r="E553" t="s">
        <v>1166</v>
      </c>
      <c r="F553" t="s">
        <v>963</v>
      </c>
      <c r="G553" t="s">
        <v>942</v>
      </c>
      <c r="H553">
        <v>1</v>
      </c>
      <c r="I553">
        <v>274.16000000000003</v>
      </c>
      <c r="J553">
        <v>0.1</v>
      </c>
      <c r="K553" s="3">
        <v>27.415999999999997</v>
      </c>
      <c r="L553">
        <v>246.74400000000003</v>
      </c>
      <c r="M553">
        <v>56.354000000000042</v>
      </c>
      <c r="N553" t="str">
        <f>"P. "&amp;(Sales__tbl[[#This Row],[product_id]]&amp;"."&amp;TEXT(Sales__tbl[[#This Row],[selling_price]],"0.00"))</f>
        <v>P. P.id08.274.16</v>
      </c>
    </row>
    <row r="554" spans="1:14" x14ac:dyDescent="0.25">
      <c r="A554">
        <v>553</v>
      </c>
      <c r="B554" s="9" t="str">
        <f>TEXT(Sales__tbl[[#This Row],[date]],"MM")</f>
        <v>08</v>
      </c>
      <c r="C554" s="13">
        <v>45521</v>
      </c>
      <c r="D554" t="str">
        <f>_xlfn.XLOOKUP(Sales__tbl[[#This Row],[customer_id]],customer_tbl[customer_id],customer_tbl[Branch_id],"Not found")</f>
        <v>W02</v>
      </c>
      <c r="E554" t="s">
        <v>1147</v>
      </c>
      <c r="F554" t="s">
        <v>964</v>
      </c>
      <c r="G554" t="s">
        <v>943</v>
      </c>
      <c r="H554">
        <v>2</v>
      </c>
      <c r="I554">
        <v>190.58</v>
      </c>
      <c r="J554">
        <v>0.15</v>
      </c>
      <c r="K554" s="3">
        <v>57.174000000000035</v>
      </c>
      <c r="L554">
        <v>323.98599999999999</v>
      </c>
      <c r="M554">
        <v>28.505999999999972</v>
      </c>
      <c r="N554" t="str">
        <f>"P. "&amp;(Sales__tbl[[#This Row],[product_id]]&amp;"."&amp;TEXT(Sales__tbl[[#This Row],[selling_price]],"0.00"))</f>
        <v>P. P.id09.190.58</v>
      </c>
    </row>
    <row r="555" spans="1:14" x14ac:dyDescent="0.25">
      <c r="A555">
        <v>554</v>
      </c>
      <c r="B555" s="9" t="str">
        <f>TEXT(Sales__tbl[[#This Row],[date]],"MM")</f>
        <v>08</v>
      </c>
      <c r="C555" s="13">
        <v>45522</v>
      </c>
      <c r="D555" t="str">
        <f>_xlfn.XLOOKUP(Sales__tbl[[#This Row],[customer_id]],customer_tbl[customer_id],customer_tbl[Branch_id],"Not found")</f>
        <v>E01</v>
      </c>
      <c r="E555" t="s">
        <v>1040</v>
      </c>
      <c r="F555" t="s">
        <v>957</v>
      </c>
      <c r="G555" t="s">
        <v>833</v>
      </c>
      <c r="H555">
        <v>1</v>
      </c>
      <c r="I555">
        <v>55.26</v>
      </c>
      <c r="J555">
        <v>0</v>
      </c>
      <c r="K555" s="3">
        <v>0</v>
      </c>
      <c r="L555">
        <v>55.26</v>
      </c>
      <c r="M555">
        <v>19.839999999999996</v>
      </c>
      <c r="N555" t="str">
        <f>"P. "&amp;(Sales__tbl[[#This Row],[product_id]]&amp;"."&amp;TEXT(Sales__tbl[[#This Row],[selling_price]],"0.00"))</f>
        <v>P. P.id02.55.26</v>
      </c>
    </row>
    <row r="556" spans="1:14" x14ac:dyDescent="0.25">
      <c r="A556">
        <v>555</v>
      </c>
      <c r="B556" s="9" t="str">
        <f>TEXT(Sales__tbl[[#This Row],[date]],"MM")</f>
        <v>08</v>
      </c>
      <c r="C556" s="13">
        <v>45523</v>
      </c>
      <c r="D556" t="str">
        <f>_xlfn.XLOOKUP(Sales__tbl[[#This Row],[customer_id]],customer_tbl[customer_id],customer_tbl[Branch_id],"Not found")</f>
        <v>E02</v>
      </c>
      <c r="E556" t="s">
        <v>1068</v>
      </c>
      <c r="F556" t="s">
        <v>957</v>
      </c>
      <c r="G556" t="s">
        <v>833</v>
      </c>
      <c r="H556">
        <v>1</v>
      </c>
      <c r="I556">
        <v>55.26</v>
      </c>
      <c r="J556">
        <v>0</v>
      </c>
      <c r="K556" s="3">
        <v>0</v>
      </c>
      <c r="L556">
        <v>55.26</v>
      </c>
      <c r="M556">
        <v>19.839999999999996</v>
      </c>
      <c r="N556" t="str">
        <f>"P. "&amp;(Sales__tbl[[#This Row],[product_id]]&amp;"."&amp;TEXT(Sales__tbl[[#This Row],[selling_price]],"0.00"))</f>
        <v>P. P.id02.55.26</v>
      </c>
    </row>
    <row r="557" spans="1:14" x14ac:dyDescent="0.25">
      <c r="A557">
        <v>556</v>
      </c>
      <c r="B557" s="9" t="str">
        <f>TEXT(Sales__tbl[[#This Row],[date]],"MM")</f>
        <v>08</v>
      </c>
      <c r="C557" s="13">
        <v>45524</v>
      </c>
      <c r="D557" t="str">
        <f>_xlfn.XLOOKUP(Sales__tbl[[#This Row],[customer_id]],customer_tbl[customer_id],customer_tbl[Branch_id],"Not found")</f>
        <v>E02</v>
      </c>
      <c r="E557" t="s">
        <v>1144</v>
      </c>
      <c r="F557" t="s">
        <v>961</v>
      </c>
      <c r="G557" t="s">
        <v>940</v>
      </c>
      <c r="H557">
        <v>1</v>
      </c>
      <c r="I557">
        <v>66.790000000000006</v>
      </c>
      <c r="J557">
        <v>0</v>
      </c>
      <c r="K557" s="3">
        <v>0</v>
      </c>
      <c r="L557">
        <v>66.790000000000006</v>
      </c>
      <c r="M557">
        <v>22.850000000000009</v>
      </c>
      <c r="N557" t="str">
        <f>"P. "&amp;(Sales__tbl[[#This Row],[product_id]]&amp;"."&amp;TEXT(Sales__tbl[[#This Row],[selling_price]],"0.00"))</f>
        <v>P. P.id06.66.79</v>
      </c>
    </row>
    <row r="558" spans="1:14" x14ac:dyDescent="0.25">
      <c r="A558">
        <v>557</v>
      </c>
      <c r="B558" s="9" t="str">
        <f>TEXT(Sales__tbl[[#This Row],[date]],"MM")</f>
        <v>08</v>
      </c>
      <c r="C558" s="13">
        <v>45525</v>
      </c>
      <c r="D558" t="str">
        <f>_xlfn.XLOOKUP(Sales__tbl[[#This Row],[customer_id]],customer_tbl[customer_id],customer_tbl[Branch_id],"Not found")</f>
        <v>N01</v>
      </c>
      <c r="E558" t="s">
        <v>1181</v>
      </c>
      <c r="F558" t="s">
        <v>959</v>
      </c>
      <c r="G558" t="s">
        <v>837</v>
      </c>
      <c r="H558">
        <v>1</v>
      </c>
      <c r="I558">
        <v>11.53</v>
      </c>
      <c r="J558">
        <v>0</v>
      </c>
      <c r="K558" s="3">
        <v>0</v>
      </c>
      <c r="L558">
        <v>11.53</v>
      </c>
      <c r="M558">
        <v>2.5199999999999996</v>
      </c>
      <c r="N558" t="str">
        <f>"P. "&amp;(Sales__tbl[[#This Row],[product_id]]&amp;"."&amp;TEXT(Sales__tbl[[#This Row],[selling_price]],"0.00"))</f>
        <v>P. P.id04.11.53</v>
      </c>
    </row>
    <row r="559" spans="1:14" x14ac:dyDescent="0.25">
      <c r="A559">
        <v>558</v>
      </c>
      <c r="B559" s="9" t="str">
        <f>TEXT(Sales__tbl[[#This Row],[date]],"MM")</f>
        <v>08</v>
      </c>
      <c r="C559" s="13">
        <v>45526</v>
      </c>
      <c r="D559" t="str">
        <f>_xlfn.XLOOKUP(Sales__tbl[[#This Row],[customer_id]],customer_tbl[customer_id],customer_tbl[Branch_id],"Not found")</f>
        <v>E01</v>
      </c>
      <c r="E559" t="s">
        <v>1014</v>
      </c>
      <c r="F559" t="s">
        <v>963</v>
      </c>
      <c r="G559" t="s">
        <v>942</v>
      </c>
      <c r="H559">
        <v>1</v>
      </c>
      <c r="I559">
        <v>274.16000000000003</v>
      </c>
      <c r="J559">
        <v>0.1</v>
      </c>
      <c r="K559" s="3">
        <v>27.415999999999997</v>
      </c>
      <c r="L559">
        <v>246.74400000000003</v>
      </c>
      <c r="M559">
        <v>56.354000000000042</v>
      </c>
      <c r="N559" t="str">
        <f>"P. "&amp;(Sales__tbl[[#This Row],[product_id]]&amp;"."&amp;TEXT(Sales__tbl[[#This Row],[selling_price]],"0.00"))</f>
        <v>P. P.id08.274.16</v>
      </c>
    </row>
    <row r="560" spans="1:14" x14ac:dyDescent="0.25">
      <c r="A560">
        <v>559</v>
      </c>
      <c r="B560" s="9" t="str">
        <f>TEXT(Sales__tbl[[#This Row],[date]],"MM")</f>
        <v>08</v>
      </c>
      <c r="C560" s="13">
        <v>45527</v>
      </c>
      <c r="D560" t="str">
        <f>_xlfn.XLOOKUP(Sales__tbl[[#This Row],[customer_id]],customer_tbl[customer_id],customer_tbl[Branch_id],"Not found")</f>
        <v>C02</v>
      </c>
      <c r="E560" t="s">
        <v>1106</v>
      </c>
      <c r="F560" t="s">
        <v>959</v>
      </c>
      <c r="G560" t="s">
        <v>837</v>
      </c>
      <c r="H560">
        <v>1</v>
      </c>
      <c r="I560">
        <v>11.53</v>
      </c>
      <c r="J560">
        <v>0</v>
      </c>
      <c r="K560" s="3">
        <v>0</v>
      </c>
      <c r="L560">
        <v>11.53</v>
      </c>
      <c r="M560">
        <v>2.5199999999999996</v>
      </c>
      <c r="N560" t="str">
        <f>"P. "&amp;(Sales__tbl[[#This Row],[product_id]]&amp;"."&amp;TEXT(Sales__tbl[[#This Row],[selling_price]],"0.00"))</f>
        <v>P. P.id04.11.53</v>
      </c>
    </row>
    <row r="561" spans="1:14" x14ac:dyDescent="0.25">
      <c r="A561">
        <v>560</v>
      </c>
      <c r="B561" s="9" t="str">
        <f>TEXT(Sales__tbl[[#This Row],[date]],"MM")</f>
        <v>08</v>
      </c>
      <c r="C561" s="13">
        <v>45528</v>
      </c>
      <c r="D561" t="str">
        <f>_xlfn.XLOOKUP(Sales__tbl[[#This Row],[customer_id]],customer_tbl[customer_id],customer_tbl[Branch_id],"Not found")</f>
        <v>S02</v>
      </c>
      <c r="E561" t="s">
        <v>1026</v>
      </c>
      <c r="F561" t="s">
        <v>962</v>
      </c>
      <c r="G561" t="s">
        <v>941</v>
      </c>
      <c r="H561">
        <v>1</v>
      </c>
      <c r="I561">
        <v>259.11</v>
      </c>
      <c r="J561">
        <v>0.1</v>
      </c>
      <c r="K561" s="3">
        <v>25.911000000000001</v>
      </c>
      <c r="L561">
        <v>233.19900000000001</v>
      </c>
      <c r="M561">
        <v>59.299000000000007</v>
      </c>
      <c r="N561" t="str">
        <f>"P. "&amp;(Sales__tbl[[#This Row],[product_id]]&amp;"."&amp;TEXT(Sales__tbl[[#This Row],[selling_price]],"0.00"))</f>
        <v>P. P.id07.259.11</v>
      </c>
    </row>
    <row r="562" spans="1:14" x14ac:dyDescent="0.25">
      <c r="A562">
        <v>561</v>
      </c>
      <c r="B562" s="9" t="str">
        <f>TEXT(Sales__tbl[[#This Row],[date]],"MM")</f>
        <v>08</v>
      </c>
      <c r="C562" s="13">
        <v>45529</v>
      </c>
      <c r="D562" t="str">
        <f>_xlfn.XLOOKUP(Sales__tbl[[#This Row],[customer_id]],customer_tbl[customer_id],customer_tbl[Branch_id],"Not found")</f>
        <v>N01</v>
      </c>
      <c r="E562" t="s">
        <v>1030</v>
      </c>
      <c r="F562" t="s">
        <v>957</v>
      </c>
      <c r="G562" t="s">
        <v>833</v>
      </c>
      <c r="H562">
        <v>1</v>
      </c>
      <c r="I562">
        <v>55.26</v>
      </c>
      <c r="J562">
        <v>0</v>
      </c>
      <c r="K562" s="3">
        <v>0</v>
      </c>
      <c r="L562">
        <v>55.26</v>
      </c>
      <c r="M562">
        <v>19.839999999999996</v>
      </c>
      <c r="N562" t="str">
        <f>"P. "&amp;(Sales__tbl[[#This Row],[product_id]]&amp;"."&amp;TEXT(Sales__tbl[[#This Row],[selling_price]],"0.00"))</f>
        <v>P. P.id02.55.26</v>
      </c>
    </row>
    <row r="563" spans="1:14" x14ac:dyDescent="0.25">
      <c r="A563">
        <v>562</v>
      </c>
      <c r="B563" s="9" t="str">
        <f>TEXT(Sales__tbl[[#This Row],[date]],"MM")</f>
        <v>08</v>
      </c>
      <c r="C563" s="13">
        <v>45530</v>
      </c>
      <c r="D563" t="str">
        <f>_xlfn.XLOOKUP(Sales__tbl[[#This Row],[customer_id]],customer_tbl[customer_id],customer_tbl[Branch_id],"Not found")</f>
        <v>E01</v>
      </c>
      <c r="E563" t="s">
        <v>1047</v>
      </c>
      <c r="F563" t="s">
        <v>958</v>
      </c>
      <c r="G563" t="s">
        <v>939</v>
      </c>
      <c r="H563">
        <v>1</v>
      </c>
      <c r="I563">
        <v>90.53</v>
      </c>
      <c r="J563">
        <v>0</v>
      </c>
      <c r="K563" s="3">
        <v>0</v>
      </c>
      <c r="L563">
        <v>90.53</v>
      </c>
      <c r="M563">
        <v>12.489999999999995</v>
      </c>
      <c r="N563" t="str">
        <f>"P. "&amp;(Sales__tbl[[#This Row],[product_id]]&amp;"."&amp;TEXT(Sales__tbl[[#This Row],[selling_price]],"0.00"))</f>
        <v>P. P.id03.90.53</v>
      </c>
    </row>
    <row r="564" spans="1:14" x14ac:dyDescent="0.25">
      <c r="A564">
        <v>563</v>
      </c>
      <c r="B564" s="9" t="str">
        <f>TEXT(Sales__tbl[[#This Row],[date]],"MM")</f>
        <v>08</v>
      </c>
      <c r="C564" s="13">
        <v>45531</v>
      </c>
      <c r="D564" t="str">
        <f>_xlfn.XLOOKUP(Sales__tbl[[#This Row],[customer_id]],customer_tbl[customer_id],customer_tbl[Branch_id],"Not found")</f>
        <v>C01</v>
      </c>
      <c r="E564" t="s">
        <v>1077</v>
      </c>
      <c r="F564" t="s">
        <v>962</v>
      </c>
      <c r="G564" t="s">
        <v>941</v>
      </c>
      <c r="H564">
        <v>2</v>
      </c>
      <c r="I564">
        <v>259.11</v>
      </c>
      <c r="J564">
        <v>0.2</v>
      </c>
      <c r="K564" s="3">
        <v>103.64400000000001</v>
      </c>
      <c r="L564">
        <v>414.57600000000002</v>
      </c>
      <c r="M564">
        <v>66.77600000000001</v>
      </c>
      <c r="N564" t="str">
        <f>"P. "&amp;(Sales__tbl[[#This Row],[product_id]]&amp;"."&amp;TEXT(Sales__tbl[[#This Row],[selling_price]],"0.00"))</f>
        <v>P. P.id07.259.11</v>
      </c>
    </row>
    <row r="565" spans="1:14" x14ac:dyDescent="0.25">
      <c r="A565">
        <v>564</v>
      </c>
      <c r="B565" s="9" t="str">
        <f>TEXT(Sales__tbl[[#This Row],[date]],"MM")</f>
        <v>08</v>
      </c>
      <c r="C565" s="13">
        <v>45532</v>
      </c>
      <c r="D565" t="str">
        <f>_xlfn.XLOOKUP(Sales__tbl[[#This Row],[customer_id]],customer_tbl[customer_id],customer_tbl[Branch_id],"Not found")</f>
        <v>C02</v>
      </c>
      <c r="E565" t="s">
        <v>1083</v>
      </c>
      <c r="F565" t="s">
        <v>963</v>
      </c>
      <c r="G565" t="s">
        <v>942</v>
      </c>
      <c r="H565">
        <v>1</v>
      </c>
      <c r="I565">
        <v>274.16000000000003</v>
      </c>
      <c r="J565">
        <v>0.1</v>
      </c>
      <c r="K565" s="3">
        <v>27.415999999999997</v>
      </c>
      <c r="L565">
        <v>246.74400000000003</v>
      </c>
      <c r="M565">
        <v>56.354000000000042</v>
      </c>
      <c r="N565" t="str">
        <f>"P. "&amp;(Sales__tbl[[#This Row],[product_id]]&amp;"."&amp;TEXT(Sales__tbl[[#This Row],[selling_price]],"0.00"))</f>
        <v>P. P.id08.274.16</v>
      </c>
    </row>
    <row r="566" spans="1:14" x14ac:dyDescent="0.25">
      <c r="A566">
        <v>565</v>
      </c>
      <c r="B566" s="9" t="str">
        <f>TEXT(Sales__tbl[[#This Row],[date]],"MM")</f>
        <v>08</v>
      </c>
      <c r="C566" s="13">
        <v>45533</v>
      </c>
      <c r="D566" t="str">
        <f>_xlfn.XLOOKUP(Sales__tbl[[#This Row],[customer_id]],customer_tbl[customer_id],customer_tbl[Branch_id],"Not found")</f>
        <v>E02</v>
      </c>
      <c r="E566" t="s">
        <v>1126</v>
      </c>
      <c r="F566" t="s">
        <v>967</v>
      </c>
      <c r="G566" t="s">
        <v>872</v>
      </c>
      <c r="H566">
        <v>1</v>
      </c>
      <c r="I566">
        <v>91.73</v>
      </c>
      <c r="J566">
        <v>0</v>
      </c>
      <c r="K566" s="3">
        <v>0</v>
      </c>
      <c r="L566">
        <v>91.73</v>
      </c>
      <c r="M566">
        <v>15.290000000000006</v>
      </c>
      <c r="N566" t="str">
        <f>"P. "&amp;(Sales__tbl[[#This Row],[product_id]]&amp;"."&amp;TEXT(Sales__tbl[[#This Row],[selling_price]],"0.00"))</f>
        <v>P. P.id12.91.73</v>
      </c>
    </row>
    <row r="567" spans="1:14" x14ac:dyDescent="0.25">
      <c r="A567">
        <v>566</v>
      </c>
      <c r="B567" s="9" t="str">
        <f>TEXT(Sales__tbl[[#This Row],[date]],"MM")</f>
        <v>08</v>
      </c>
      <c r="C567" s="13">
        <v>45534</v>
      </c>
      <c r="D567" t="str">
        <f>_xlfn.XLOOKUP(Sales__tbl[[#This Row],[customer_id]],customer_tbl[customer_id],customer_tbl[Branch_id],"Not found")</f>
        <v>E01</v>
      </c>
      <c r="E567" t="s">
        <v>987</v>
      </c>
      <c r="F567" t="s">
        <v>966</v>
      </c>
      <c r="G567" t="s">
        <v>851</v>
      </c>
      <c r="H567">
        <v>2</v>
      </c>
      <c r="I567">
        <v>196.75</v>
      </c>
      <c r="J567">
        <v>0.15</v>
      </c>
      <c r="K567" s="3">
        <v>59.025000000000034</v>
      </c>
      <c r="L567">
        <v>334.47499999999997</v>
      </c>
      <c r="M567">
        <v>22.174999999999955</v>
      </c>
      <c r="N567" t="str">
        <f>"P. "&amp;(Sales__tbl[[#This Row],[product_id]]&amp;"."&amp;TEXT(Sales__tbl[[#This Row],[selling_price]],"0.00"))</f>
        <v>P. P.id11.196.75</v>
      </c>
    </row>
    <row r="568" spans="1:14" x14ac:dyDescent="0.25">
      <c r="A568">
        <v>567</v>
      </c>
      <c r="B568" s="9" t="str">
        <f>TEXT(Sales__tbl[[#This Row],[date]],"MM")</f>
        <v>08</v>
      </c>
      <c r="C568" s="13">
        <v>45535</v>
      </c>
      <c r="D568" t="str">
        <f>_xlfn.XLOOKUP(Sales__tbl[[#This Row],[customer_id]],customer_tbl[customer_id],customer_tbl[Branch_id],"Not found")</f>
        <v>W02</v>
      </c>
      <c r="E568" t="s">
        <v>1099</v>
      </c>
      <c r="F568" t="s">
        <v>964</v>
      </c>
      <c r="G568" t="s">
        <v>943</v>
      </c>
      <c r="H568">
        <v>1</v>
      </c>
      <c r="I568">
        <v>190.58</v>
      </c>
      <c r="J568">
        <v>0.1</v>
      </c>
      <c r="K568" s="3">
        <v>19.057999999999993</v>
      </c>
      <c r="L568">
        <v>171.52200000000002</v>
      </c>
      <c r="M568">
        <v>23.782000000000011</v>
      </c>
      <c r="N568" t="str">
        <f>"P. "&amp;(Sales__tbl[[#This Row],[product_id]]&amp;"."&amp;TEXT(Sales__tbl[[#This Row],[selling_price]],"0.00"))</f>
        <v>P. P.id09.190.58</v>
      </c>
    </row>
    <row r="569" spans="1:14" x14ac:dyDescent="0.25">
      <c r="A569">
        <v>568</v>
      </c>
      <c r="B569" s="9" t="str">
        <f>TEXT(Sales__tbl[[#This Row],[date]],"MM")</f>
        <v>09</v>
      </c>
      <c r="C569" s="13">
        <v>45536</v>
      </c>
      <c r="D569" t="str">
        <f>_xlfn.XLOOKUP(Sales__tbl[[#This Row],[customer_id]],customer_tbl[customer_id],customer_tbl[Branch_id],"Not found")</f>
        <v>E01</v>
      </c>
      <c r="E569" t="s">
        <v>1028</v>
      </c>
      <c r="F569" t="s">
        <v>964</v>
      </c>
      <c r="G569" t="s">
        <v>943</v>
      </c>
      <c r="H569">
        <v>2</v>
      </c>
      <c r="I569">
        <v>190.58</v>
      </c>
      <c r="J569">
        <v>0.15</v>
      </c>
      <c r="K569" s="3">
        <v>57.174000000000035</v>
      </c>
      <c r="L569">
        <v>323.98599999999999</v>
      </c>
      <c r="M569">
        <v>28.505999999999972</v>
      </c>
      <c r="N569" t="str">
        <f>"P. "&amp;(Sales__tbl[[#This Row],[product_id]]&amp;"."&amp;TEXT(Sales__tbl[[#This Row],[selling_price]],"0.00"))</f>
        <v>P. P.id09.190.58</v>
      </c>
    </row>
    <row r="570" spans="1:14" x14ac:dyDescent="0.25">
      <c r="A570">
        <v>569</v>
      </c>
      <c r="B570" s="9" t="str">
        <f>TEXT(Sales__tbl[[#This Row],[date]],"MM")</f>
        <v>09</v>
      </c>
      <c r="C570" s="13">
        <v>45537</v>
      </c>
      <c r="D570" t="str">
        <f>_xlfn.XLOOKUP(Sales__tbl[[#This Row],[customer_id]],customer_tbl[customer_id],customer_tbl[Branch_id],"Not found")</f>
        <v>S02</v>
      </c>
      <c r="E570" t="s">
        <v>1019</v>
      </c>
      <c r="F570" t="s">
        <v>965</v>
      </c>
      <c r="G570" t="s">
        <v>847</v>
      </c>
      <c r="H570">
        <v>1</v>
      </c>
      <c r="I570">
        <v>168</v>
      </c>
      <c r="J570">
        <v>0.1</v>
      </c>
      <c r="K570" s="3">
        <v>16.799999999999983</v>
      </c>
      <c r="L570">
        <v>151.20000000000002</v>
      </c>
      <c r="M570">
        <v>29.460000000000022</v>
      </c>
      <c r="N570" t="str">
        <f>"P. "&amp;(Sales__tbl[[#This Row],[product_id]]&amp;"."&amp;TEXT(Sales__tbl[[#This Row],[selling_price]],"0.00"))</f>
        <v>P. P.id10.168.00</v>
      </c>
    </row>
    <row r="571" spans="1:14" x14ac:dyDescent="0.25">
      <c r="A571">
        <v>570</v>
      </c>
      <c r="B571" s="9" t="str">
        <f>TEXT(Sales__tbl[[#This Row],[date]],"MM")</f>
        <v>09</v>
      </c>
      <c r="C571" s="13">
        <v>45538</v>
      </c>
      <c r="D571" t="str">
        <f>_xlfn.XLOOKUP(Sales__tbl[[#This Row],[customer_id]],customer_tbl[customer_id],customer_tbl[Branch_id],"Not found")</f>
        <v>C01</v>
      </c>
      <c r="E571" t="s">
        <v>996</v>
      </c>
      <c r="F571" t="s">
        <v>960</v>
      </c>
      <c r="G571" t="s">
        <v>839</v>
      </c>
      <c r="H571">
        <v>1</v>
      </c>
      <c r="I571">
        <v>165.45</v>
      </c>
      <c r="J571">
        <v>0.1</v>
      </c>
      <c r="K571" s="3">
        <v>16.544999999999987</v>
      </c>
      <c r="L571">
        <v>148.905</v>
      </c>
      <c r="M571">
        <v>25.435000000000002</v>
      </c>
      <c r="N571" t="str">
        <f>"P. "&amp;(Sales__tbl[[#This Row],[product_id]]&amp;"."&amp;TEXT(Sales__tbl[[#This Row],[selling_price]],"0.00"))</f>
        <v>P. P.id05.165.45</v>
      </c>
    </row>
    <row r="572" spans="1:14" x14ac:dyDescent="0.25">
      <c r="A572">
        <v>571</v>
      </c>
      <c r="B572" s="9" t="str">
        <f>TEXT(Sales__tbl[[#This Row],[date]],"MM")</f>
        <v>09</v>
      </c>
      <c r="C572" s="13">
        <v>45539</v>
      </c>
      <c r="D572" t="str">
        <f>_xlfn.XLOOKUP(Sales__tbl[[#This Row],[customer_id]],customer_tbl[customer_id],customer_tbl[Branch_id],"Not found")</f>
        <v>C02</v>
      </c>
      <c r="E572" t="s">
        <v>1036</v>
      </c>
      <c r="F572" t="s">
        <v>960</v>
      </c>
      <c r="G572" t="s">
        <v>839</v>
      </c>
      <c r="H572">
        <v>1</v>
      </c>
      <c r="I572">
        <v>165.45</v>
      </c>
      <c r="J572">
        <v>0.1</v>
      </c>
      <c r="K572" s="3">
        <v>16.544999999999987</v>
      </c>
      <c r="L572">
        <v>148.905</v>
      </c>
      <c r="M572">
        <v>25.435000000000002</v>
      </c>
      <c r="N572" t="str">
        <f>"P. "&amp;(Sales__tbl[[#This Row],[product_id]]&amp;"."&amp;TEXT(Sales__tbl[[#This Row],[selling_price]],"0.00"))</f>
        <v>P. P.id05.165.45</v>
      </c>
    </row>
    <row r="573" spans="1:14" x14ac:dyDescent="0.25">
      <c r="A573">
        <v>572</v>
      </c>
      <c r="B573" s="9" t="str">
        <f>TEXT(Sales__tbl[[#This Row],[date]],"MM")</f>
        <v>09</v>
      </c>
      <c r="C573" s="13">
        <v>45540</v>
      </c>
      <c r="D573" t="str">
        <f>_xlfn.XLOOKUP(Sales__tbl[[#This Row],[customer_id]],customer_tbl[customer_id],customer_tbl[Branch_id],"Not found")</f>
        <v>C01</v>
      </c>
      <c r="E573" t="s">
        <v>1024</v>
      </c>
      <c r="F573" t="s">
        <v>960</v>
      </c>
      <c r="G573" t="s">
        <v>839</v>
      </c>
      <c r="H573">
        <v>1</v>
      </c>
      <c r="I573">
        <v>165.45</v>
      </c>
      <c r="J573">
        <v>0.1</v>
      </c>
      <c r="K573" s="3">
        <v>16.544999999999987</v>
      </c>
      <c r="L573">
        <v>148.905</v>
      </c>
      <c r="M573">
        <v>25.435000000000002</v>
      </c>
      <c r="N573" t="str">
        <f>"P. "&amp;(Sales__tbl[[#This Row],[product_id]]&amp;"."&amp;TEXT(Sales__tbl[[#This Row],[selling_price]],"0.00"))</f>
        <v>P. P.id05.165.45</v>
      </c>
    </row>
    <row r="574" spans="1:14" x14ac:dyDescent="0.25">
      <c r="A574">
        <v>573</v>
      </c>
      <c r="B574" s="9" t="str">
        <f>TEXT(Sales__tbl[[#This Row],[date]],"MM")</f>
        <v>09</v>
      </c>
      <c r="C574" s="13">
        <v>45541</v>
      </c>
      <c r="D574" t="str">
        <f>_xlfn.XLOOKUP(Sales__tbl[[#This Row],[customer_id]],customer_tbl[customer_id],customer_tbl[Branch_id],"Not found")</f>
        <v>W01</v>
      </c>
      <c r="E574" t="s">
        <v>1082</v>
      </c>
      <c r="F574" t="s">
        <v>958</v>
      </c>
      <c r="G574" t="s">
        <v>939</v>
      </c>
      <c r="H574">
        <v>2</v>
      </c>
      <c r="I574">
        <v>90.53</v>
      </c>
      <c r="J574">
        <v>0.1</v>
      </c>
      <c r="K574" s="3">
        <v>18.105999999999995</v>
      </c>
      <c r="L574">
        <v>162.95400000000001</v>
      </c>
      <c r="M574">
        <v>6.8739999999999952</v>
      </c>
      <c r="N574" t="str">
        <f>"P. "&amp;(Sales__tbl[[#This Row],[product_id]]&amp;"."&amp;TEXT(Sales__tbl[[#This Row],[selling_price]],"0.00"))</f>
        <v>P. P.id03.90.53</v>
      </c>
    </row>
    <row r="575" spans="1:14" x14ac:dyDescent="0.25">
      <c r="A575">
        <v>574</v>
      </c>
      <c r="B575" s="9" t="str">
        <f>TEXT(Sales__tbl[[#This Row],[date]],"MM")</f>
        <v>09</v>
      </c>
      <c r="C575" s="13">
        <v>45542</v>
      </c>
      <c r="D575" t="str">
        <f>_xlfn.XLOOKUP(Sales__tbl[[#This Row],[customer_id]],customer_tbl[customer_id],customer_tbl[Branch_id],"Not found")</f>
        <v>C01</v>
      </c>
      <c r="E575" t="s">
        <v>1097</v>
      </c>
      <c r="F575" t="s">
        <v>957</v>
      </c>
      <c r="G575" t="s">
        <v>833</v>
      </c>
      <c r="H575">
        <v>1</v>
      </c>
      <c r="I575">
        <v>55.26</v>
      </c>
      <c r="J575">
        <v>0</v>
      </c>
      <c r="K575" s="3">
        <v>0</v>
      </c>
      <c r="L575">
        <v>55.26</v>
      </c>
      <c r="M575">
        <v>19.839999999999996</v>
      </c>
      <c r="N575" t="str">
        <f>"P. "&amp;(Sales__tbl[[#This Row],[product_id]]&amp;"."&amp;TEXT(Sales__tbl[[#This Row],[selling_price]],"0.00"))</f>
        <v>P. P.id02.55.26</v>
      </c>
    </row>
    <row r="576" spans="1:14" x14ac:dyDescent="0.25">
      <c r="A576">
        <v>575</v>
      </c>
      <c r="B576" s="9" t="str">
        <f>TEXT(Sales__tbl[[#This Row],[date]],"MM")</f>
        <v>09</v>
      </c>
      <c r="C576" s="13">
        <v>45543</v>
      </c>
      <c r="D576" t="str">
        <f>_xlfn.XLOOKUP(Sales__tbl[[#This Row],[customer_id]],customer_tbl[customer_id],customer_tbl[Branch_id],"Not found")</f>
        <v>C02</v>
      </c>
      <c r="E576" t="s">
        <v>1187</v>
      </c>
      <c r="F576" t="s">
        <v>960</v>
      </c>
      <c r="G576" t="s">
        <v>839</v>
      </c>
      <c r="H576">
        <v>1</v>
      </c>
      <c r="I576">
        <v>165.45</v>
      </c>
      <c r="J576">
        <v>0.1</v>
      </c>
      <c r="K576" s="3">
        <v>16.544999999999987</v>
      </c>
      <c r="L576">
        <v>148.905</v>
      </c>
      <c r="M576">
        <v>25.435000000000002</v>
      </c>
      <c r="N576" t="str">
        <f>"P. "&amp;(Sales__tbl[[#This Row],[product_id]]&amp;"."&amp;TEXT(Sales__tbl[[#This Row],[selling_price]],"0.00"))</f>
        <v>P. P.id05.165.45</v>
      </c>
    </row>
    <row r="577" spans="1:14" x14ac:dyDescent="0.25">
      <c r="A577">
        <v>576</v>
      </c>
      <c r="B577" s="9" t="str">
        <f>TEXT(Sales__tbl[[#This Row],[date]],"MM")</f>
        <v>09</v>
      </c>
      <c r="C577" s="13">
        <v>45544</v>
      </c>
      <c r="D577" t="str">
        <f>_xlfn.XLOOKUP(Sales__tbl[[#This Row],[customer_id]],customer_tbl[customer_id],customer_tbl[Branch_id],"Not found")</f>
        <v>S01</v>
      </c>
      <c r="E577" t="s">
        <v>1004</v>
      </c>
      <c r="F577" t="s">
        <v>963</v>
      </c>
      <c r="G577" t="s">
        <v>942</v>
      </c>
      <c r="H577">
        <v>1</v>
      </c>
      <c r="I577">
        <v>274.16000000000003</v>
      </c>
      <c r="J577">
        <v>0.1</v>
      </c>
      <c r="K577" s="3">
        <v>27.415999999999997</v>
      </c>
      <c r="L577">
        <v>246.74400000000003</v>
      </c>
      <c r="M577">
        <v>56.354000000000042</v>
      </c>
      <c r="N577" t="str">
        <f>"P. "&amp;(Sales__tbl[[#This Row],[product_id]]&amp;"."&amp;TEXT(Sales__tbl[[#This Row],[selling_price]],"0.00"))</f>
        <v>P. P.id08.274.16</v>
      </c>
    </row>
    <row r="578" spans="1:14" x14ac:dyDescent="0.25">
      <c r="A578">
        <v>577</v>
      </c>
      <c r="B578" s="9" t="str">
        <f>TEXT(Sales__tbl[[#This Row],[date]],"MM")</f>
        <v>09</v>
      </c>
      <c r="C578" s="13">
        <v>45545</v>
      </c>
      <c r="D578" t="str">
        <f>_xlfn.XLOOKUP(Sales__tbl[[#This Row],[customer_id]],customer_tbl[customer_id],customer_tbl[Branch_id],"Not found")</f>
        <v>W02</v>
      </c>
      <c r="E578" t="s">
        <v>1117</v>
      </c>
      <c r="F578" t="s">
        <v>962</v>
      </c>
      <c r="G578" t="s">
        <v>941</v>
      </c>
      <c r="H578">
        <v>1</v>
      </c>
      <c r="I578">
        <v>259.11</v>
      </c>
      <c r="J578">
        <v>0.1</v>
      </c>
      <c r="K578" s="3">
        <v>25.911000000000001</v>
      </c>
      <c r="L578">
        <v>233.19900000000001</v>
      </c>
      <c r="M578">
        <v>59.299000000000007</v>
      </c>
      <c r="N578" t="str">
        <f>"P. "&amp;(Sales__tbl[[#This Row],[product_id]]&amp;"."&amp;TEXT(Sales__tbl[[#This Row],[selling_price]],"0.00"))</f>
        <v>P. P.id07.259.11</v>
      </c>
    </row>
    <row r="579" spans="1:14" x14ac:dyDescent="0.25">
      <c r="A579">
        <v>578</v>
      </c>
      <c r="B579" s="9" t="str">
        <f>TEXT(Sales__tbl[[#This Row],[date]],"MM")</f>
        <v>09</v>
      </c>
      <c r="C579" s="13">
        <v>45546</v>
      </c>
      <c r="D579" t="str">
        <f>_xlfn.XLOOKUP(Sales__tbl[[#This Row],[customer_id]],customer_tbl[customer_id],customer_tbl[Branch_id],"Not found")</f>
        <v>S02</v>
      </c>
      <c r="E579" t="s">
        <v>984</v>
      </c>
      <c r="F579" t="s">
        <v>963</v>
      </c>
      <c r="G579" t="s">
        <v>942</v>
      </c>
      <c r="H579">
        <v>1</v>
      </c>
      <c r="I579">
        <v>274.16000000000003</v>
      </c>
      <c r="J579">
        <v>0.1</v>
      </c>
      <c r="K579" s="3">
        <v>27.415999999999997</v>
      </c>
      <c r="L579">
        <v>246.74400000000003</v>
      </c>
      <c r="M579">
        <v>56.354000000000042</v>
      </c>
      <c r="N579" t="str">
        <f>"P. "&amp;(Sales__tbl[[#This Row],[product_id]]&amp;"."&amp;TEXT(Sales__tbl[[#This Row],[selling_price]],"0.00"))</f>
        <v>P. P.id08.274.16</v>
      </c>
    </row>
    <row r="580" spans="1:14" x14ac:dyDescent="0.25">
      <c r="A580">
        <v>579</v>
      </c>
      <c r="B580" s="9" t="str">
        <f>TEXT(Sales__tbl[[#This Row],[date]],"MM")</f>
        <v>09</v>
      </c>
      <c r="C580" s="13">
        <v>45547</v>
      </c>
      <c r="D580" t="str">
        <f>_xlfn.XLOOKUP(Sales__tbl[[#This Row],[customer_id]],customer_tbl[customer_id],customer_tbl[Branch_id],"Not found")</f>
        <v>E02</v>
      </c>
      <c r="E580" t="s">
        <v>1156</v>
      </c>
      <c r="F580" t="s">
        <v>967</v>
      </c>
      <c r="G580" t="s">
        <v>872</v>
      </c>
      <c r="H580">
        <v>2</v>
      </c>
      <c r="I580">
        <v>91.73</v>
      </c>
      <c r="J580">
        <v>0.1</v>
      </c>
      <c r="K580" s="3">
        <v>18.346000000000004</v>
      </c>
      <c r="L580">
        <v>165.114</v>
      </c>
      <c r="M580">
        <v>12.234000000000009</v>
      </c>
      <c r="N580" t="str">
        <f>"P. "&amp;(Sales__tbl[[#This Row],[product_id]]&amp;"."&amp;TEXT(Sales__tbl[[#This Row],[selling_price]],"0.00"))</f>
        <v>P. P.id12.91.73</v>
      </c>
    </row>
    <row r="581" spans="1:14" x14ac:dyDescent="0.25">
      <c r="A581">
        <v>580</v>
      </c>
      <c r="B581" s="9" t="str">
        <f>TEXT(Sales__tbl[[#This Row],[date]],"MM")</f>
        <v>09</v>
      </c>
      <c r="C581" s="13">
        <v>45548</v>
      </c>
      <c r="D581" t="str">
        <f>_xlfn.XLOOKUP(Sales__tbl[[#This Row],[customer_id]],customer_tbl[customer_id],customer_tbl[Branch_id],"Not found")</f>
        <v>W01</v>
      </c>
      <c r="E581" t="s">
        <v>1110</v>
      </c>
      <c r="F581" t="s">
        <v>957</v>
      </c>
      <c r="G581" t="s">
        <v>833</v>
      </c>
      <c r="H581">
        <v>1</v>
      </c>
      <c r="I581">
        <v>55.26</v>
      </c>
      <c r="J581">
        <v>0</v>
      </c>
      <c r="K581" s="3">
        <v>0</v>
      </c>
      <c r="L581">
        <v>55.26</v>
      </c>
      <c r="M581">
        <v>19.839999999999996</v>
      </c>
      <c r="N581" t="str">
        <f>"P. "&amp;(Sales__tbl[[#This Row],[product_id]]&amp;"."&amp;TEXT(Sales__tbl[[#This Row],[selling_price]],"0.00"))</f>
        <v>P. P.id02.55.26</v>
      </c>
    </row>
    <row r="582" spans="1:14" x14ac:dyDescent="0.25">
      <c r="A582">
        <v>581</v>
      </c>
      <c r="B582" s="9" t="str">
        <f>TEXT(Sales__tbl[[#This Row],[date]],"MM")</f>
        <v>09</v>
      </c>
      <c r="C582" s="13">
        <v>45549</v>
      </c>
      <c r="D582" t="str">
        <f>_xlfn.XLOOKUP(Sales__tbl[[#This Row],[customer_id]],customer_tbl[customer_id],customer_tbl[Branch_id],"Not found")</f>
        <v>N02</v>
      </c>
      <c r="E582" t="s">
        <v>1136</v>
      </c>
      <c r="F582" t="s">
        <v>956</v>
      </c>
      <c r="G582" t="s">
        <v>831</v>
      </c>
      <c r="H582">
        <v>5</v>
      </c>
      <c r="I582">
        <v>303.48</v>
      </c>
      <c r="J582">
        <v>0.2</v>
      </c>
      <c r="K582" s="3">
        <v>303.48</v>
      </c>
      <c r="L582">
        <v>1213.92</v>
      </c>
      <c r="M582">
        <v>247.42000000000007</v>
      </c>
      <c r="N582" t="str">
        <f>"P. "&amp;(Sales__tbl[[#This Row],[product_id]]&amp;"."&amp;TEXT(Sales__tbl[[#This Row],[selling_price]],"0.00"))</f>
        <v>P. P.id01.303.48</v>
      </c>
    </row>
    <row r="583" spans="1:14" x14ac:dyDescent="0.25">
      <c r="A583">
        <v>582</v>
      </c>
      <c r="B583" s="9" t="str">
        <f>TEXT(Sales__tbl[[#This Row],[date]],"MM")</f>
        <v>09</v>
      </c>
      <c r="C583" s="13">
        <v>45550</v>
      </c>
      <c r="D583" t="str">
        <f>_xlfn.XLOOKUP(Sales__tbl[[#This Row],[customer_id]],customer_tbl[customer_id],customer_tbl[Branch_id],"Not found")</f>
        <v>C02</v>
      </c>
      <c r="E583" t="s">
        <v>1075</v>
      </c>
      <c r="F583" t="s">
        <v>960</v>
      </c>
      <c r="G583" t="s">
        <v>839</v>
      </c>
      <c r="H583">
        <v>2</v>
      </c>
      <c r="I583">
        <v>165.45</v>
      </c>
      <c r="J583">
        <v>0.15</v>
      </c>
      <c r="K583" s="3">
        <v>49.634999999999991</v>
      </c>
      <c r="L583">
        <v>281.26499999999999</v>
      </c>
      <c r="M583">
        <v>34.324999999999989</v>
      </c>
      <c r="N583" t="str">
        <f>"P. "&amp;(Sales__tbl[[#This Row],[product_id]]&amp;"."&amp;TEXT(Sales__tbl[[#This Row],[selling_price]],"0.00"))</f>
        <v>P. P.id05.165.45</v>
      </c>
    </row>
    <row r="584" spans="1:14" x14ac:dyDescent="0.25">
      <c r="A584">
        <v>583</v>
      </c>
      <c r="B584" s="9" t="str">
        <f>TEXT(Sales__tbl[[#This Row],[date]],"MM")</f>
        <v>09</v>
      </c>
      <c r="C584" s="13">
        <v>45551</v>
      </c>
      <c r="D584" t="str">
        <f>_xlfn.XLOOKUP(Sales__tbl[[#This Row],[customer_id]],customer_tbl[customer_id],customer_tbl[Branch_id],"Not found")</f>
        <v>S01</v>
      </c>
      <c r="E584" t="s">
        <v>1072</v>
      </c>
      <c r="F584" t="s">
        <v>958</v>
      </c>
      <c r="G584" t="s">
        <v>939</v>
      </c>
      <c r="H584">
        <v>1</v>
      </c>
      <c r="I584">
        <v>90.53</v>
      </c>
      <c r="J584">
        <v>0</v>
      </c>
      <c r="K584" s="3">
        <v>0</v>
      </c>
      <c r="L584">
        <v>90.53</v>
      </c>
      <c r="M584">
        <v>12.489999999999995</v>
      </c>
      <c r="N584" t="str">
        <f>"P. "&amp;(Sales__tbl[[#This Row],[product_id]]&amp;"."&amp;TEXT(Sales__tbl[[#This Row],[selling_price]],"0.00"))</f>
        <v>P. P.id03.90.53</v>
      </c>
    </row>
    <row r="585" spans="1:14" x14ac:dyDescent="0.25">
      <c r="A585">
        <v>584</v>
      </c>
      <c r="B585" s="9" t="str">
        <f>TEXT(Sales__tbl[[#This Row],[date]],"MM")</f>
        <v>09</v>
      </c>
      <c r="C585" s="13">
        <v>45552</v>
      </c>
      <c r="D585" t="str">
        <f>_xlfn.XLOOKUP(Sales__tbl[[#This Row],[customer_id]],customer_tbl[customer_id],customer_tbl[Branch_id],"Not found")</f>
        <v>N01</v>
      </c>
      <c r="E585" t="s">
        <v>998</v>
      </c>
      <c r="F585" t="s">
        <v>959</v>
      </c>
      <c r="G585" t="s">
        <v>837</v>
      </c>
      <c r="H585">
        <v>1</v>
      </c>
      <c r="I585">
        <v>11.53</v>
      </c>
      <c r="J585">
        <v>0</v>
      </c>
      <c r="K585" s="3">
        <v>0</v>
      </c>
      <c r="L585">
        <v>11.53</v>
      </c>
      <c r="M585">
        <v>2.5199999999999996</v>
      </c>
      <c r="N585" t="str">
        <f>"P. "&amp;(Sales__tbl[[#This Row],[product_id]]&amp;"."&amp;TEXT(Sales__tbl[[#This Row],[selling_price]],"0.00"))</f>
        <v>P. P.id04.11.53</v>
      </c>
    </row>
    <row r="586" spans="1:14" x14ac:dyDescent="0.25">
      <c r="A586">
        <v>585</v>
      </c>
      <c r="B586" s="9" t="str">
        <f>TEXT(Sales__tbl[[#This Row],[date]],"MM")</f>
        <v>09</v>
      </c>
      <c r="C586" s="13">
        <v>45553</v>
      </c>
      <c r="D586" t="str">
        <f>_xlfn.XLOOKUP(Sales__tbl[[#This Row],[customer_id]],customer_tbl[customer_id],customer_tbl[Branch_id],"Not found")</f>
        <v>S02</v>
      </c>
      <c r="E586" t="s">
        <v>1071</v>
      </c>
      <c r="F586" t="s">
        <v>963</v>
      </c>
      <c r="G586" t="s">
        <v>942</v>
      </c>
      <c r="H586">
        <v>1</v>
      </c>
      <c r="I586">
        <v>274.16000000000003</v>
      </c>
      <c r="J586">
        <v>0.1</v>
      </c>
      <c r="K586" s="3">
        <v>27.415999999999997</v>
      </c>
      <c r="L586">
        <v>246.74400000000003</v>
      </c>
      <c r="M586">
        <v>56.354000000000042</v>
      </c>
      <c r="N586" t="str">
        <f>"P. "&amp;(Sales__tbl[[#This Row],[product_id]]&amp;"."&amp;TEXT(Sales__tbl[[#This Row],[selling_price]],"0.00"))</f>
        <v>P. P.id08.274.16</v>
      </c>
    </row>
    <row r="587" spans="1:14" x14ac:dyDescent="0.25">
      <c r="A587">
        <v>586</v>
      </c>
      <c r="B587" s="9" t="str">
        <f>TEXT(Sales__tbl[[#This Row],[date]],"MM")</f>
        <v>09</v>
      </c>
      <c r="C587" s="13">
        <v>45554</v>
      </c>
      <c r="D587" t="str">
        <f>_xlfn.XLOOKUP(Sales__tbl[[#This Row],[customer_id]],customer_tbl[customer_id],customer_tbl[Branch_id],"Not found")</f>
        <v>C02</v>
      </c>
      <c r="E587" t="s">
        <v>1106</v>
      </c>
      <c r="F587" t="s">
        <v>967</v>
      </c>
      <c r="G587" t="s">
        <v>872</v>
      </c>
      <c r="H587">
        <v>1</v>
      </c>
      <c r="I587">
        <v>91.73</v>
      </c>
      <c r="J587">
        <v>0</v>
      </c>
      <c r="K587" s="3">
        <v>0</v>
      </c>
      <c r="L587">
        <v>91.73</v>
      </c>
      <c r="M587">
        <v>15.290000000000006</v>
      </c>
      <c r="N587" t="str">
        <f>"P. "&amp;(Sales__tbl[[#This Row],[product_id]]&amp;"."&amp;TEXT(Sales__tbl[[#This Row],[selling_price]],"0.00"))</f>
        <v>P. P.id12.91.73</v>
      </c>
    </row>
    <row r="588" spans="1:14" x14ac:dyDescent="0.25">
      <c r="A588">
        <v>587</v>
      </c>
      <c r="B588" s="9" t="str">
        <f>TEXT(Sales__tbl[[#This Row],[date]],"MM")</f>
        <v>09</v>
      </c>
      <c r="C588" s="13">
        <v>45555</v>
      </c>
      <c r="D588" t="str">
        <f>_xlfn.XLOOKUP(Sales__tbl[[#This Row],[customer_id]],customer_tbl[customer_id],customer_tbl[Branch_id],"Not found")</f>
        <v>W01</v>
      </c>
      <c r="E588" t="s">
        <v>1179</v>
      </c>
      <c r="F588" t="s">
        <v>959</v>
      </c>
      <c r="G588" t="s">
        <v>837</v>
      </c>
      <c r="H588">
        <v>1</v>
      </c>
      <c r="I588">
        <v>11.53</v>
      </c>
      <c r="J588">
        <v>0</v>
      </c>
      <c r="K588" s="3">
        <v>0</v>
      </c>
      <c r="L588">
        <v>11.53</v>
      </c>
      <c r="M588">
        <v>2.5199999999999996</v>
      </c>
      <c r="N588" t="str">
        <f>"P. "&amp;(Sales__tbl[[#This Row],[product_id]]&amp;"."&amp;TEXT(Sales__tbl[[#This Row],[selling_price]],"0.00"))</f>
        <v>P. P.id04.11.53</v>
      </c>
    </row>
    <row r="589" spans="1:14" x14ac:dyDescent="0.25">
      <c r="A589">
        <v>588</v>
      </c>
      <c r="B589" s="9" t="str">
        <f>TEXT(Sales__tbl[[#This Row],[date]],"MM")</f>
        <v>09</v>
      </c>
      <c r="C589" s="13">
        <v>45556</v>
      </c>
      <c r="D589" t="str">
        <f>_xlfn.XLOOKUP(Sales__tbl[[#This Row],[customer_id]],customer_tbl[customer_id],customer_tbl[Branch_id],"Not found")</f>
        <v>W02</v>
      </c>
      <c r="E589" t="s">
        <v>1080</v>
      </c>
      <c r="F589" t="s">
        <v>960</v>
      </c>
      <c r="G589" t="s">
        <v>839</v>
      </c>
      <c r="H589">
        <v>3</v>
      </c>
      <c r="I589">
        <v>165.45</v>
      </c>
      <c r="J589">
        <v>0.2</v>
      </c>
      <c r="K589" s="3">
        <v>99.269999999999982</v>
      </c>
      <c r="L589">
        <v>397.08</v>
      </c>
      <c r="M589">
        <v>26.670000000000016</v>
      </c>
      <c r="N589" t="str">
        <f>"P. "&amp;(Sales__tbl[[#This Row],[product_id]]&amp;"."&amp;TEXT(Sales__tbl[[#This Row],[selling_price]],"0.00"))</f>
        <v>P. P.id05.165.45</v>
      </c>
    </row>
    <row r="590" spans="1:14" x14ac:dyDescent="0.25">
      <c r="A590">
        <v>589</v>
      </c>
      <c r="B590" s="9" t="str">
        <f>TEXT(Sales__tbl[[#This Row],[date]],"MM")</f>
        <v>09</v>
      </c>
      <c r="C590" s="13">
        <v>45557</v>
      </c>
      <c r="D590" t="str">
        <f>_xlfn.XLOOKUP(Sales__tbl[[#This Row],[customer_id]],customer_tbl[customer_id],customer_tbl[Branch_id],"Not found")</f>
        <v>N02</v>
      </c>
      <c r="E590" t="s">
        <v>1018</v>
      </c>
      <c r="F590" t="s">
        <v>963</v>
      </c>
      <c r="G590" t="s">
        <v>942</v>
      </c>
      <c r="H590">
        <v>1</v>
      </c>
      <c r="I590">
        <v>274.16000000000003</v>
      </c>
      <c r="J590">
        <v>0.1</v>
      </c>
      <c r="K590" s="3">
        <v>27.415999999999997</v>
      </c>
      <c r="L590">
        <v>246.74400000000003</v>
      </c>
      <c r="M590">
        <v>56.354000000000042</v>
      </c>
      <c r="N590" t="str">
        <f>"P. "&amp;(Sales__tbl[[#This Row],[product_id]]&amp;"."&amp;TEXT(Sales__tbl[[#This Row],[selling_price]],"0.00"))</f>
        <v>P. P.id08.274.16</v>
      </c>
    </row>
    <row r="591" spans="1:14" x14ac:dyDescent="0.25">
      <c r="A591">
        <v>590</v>
      </c>
      <c r="B591" s="9" t="str">
        <f>TEXT(Sales__tbl[[#This Row],[date]],"MM")</f>
        <v>09</v>
      </c>
      <c r="C591" s="13">
        <v>45558</v>
      </c>
      <c r="D591" t="str">
        <f>_xlfn.XLOOKUP(Sales__tbl[[#This Row],[customer_id]],customer_tbl[customer_id],customer_tbl[Branch_id],"Not found")</f>
        <v>E02</v>
      </c>
      <c r="E591" t="s">
        <v>1156</v>
      </c>
      <c r="F591" t="s">
        <v>957</v>
      </c>
      <c r="G591" t="s">
        <v>833</v>
      </c>
      <c r="H591">
        <v>1</v>
      </c>
      <c r="I591">
        <v>55.26</v>
      </c>
      <c r="J591">
        <v>0</v>
      </c>
      <c r="K591" s="3">
        <v>0</v>
      </c>
      <c r="L591">
        <v>55.26</v>
      </c>
      <c r="M591">
        <v>19.839999999999996</v>
      </c>
      <c r="N591" t="str">
        <f>"P. "&amp;(Sales__tbl[[#This Row],[product_id]]&amp;"."&amp;TEXT(Sales__tbl[[#This Row],[selling_price]],"0.00"))</f>
        <v>P. P.id02.55.26</v>
      </c>
    </row>
    <row r="592" spans="1:14" x14ac:dyDescent="0.25">
      <c r="A592">
        <v>591</v>
      </c>
      <c r="B592" s="9" t="str">
        <f>TEXT(Sales__tbl[[#This Row],[date]],"MM")</f>
        <v>09</v>
      </c>
      <c r="C592" s="13">
        <v>45559</v>
      </c>
      <c r="D592" t="str">
        <f>_xlfn.XLOOKUP(Sales__tbl[[#This Row],[customer_id]],customer_tbl[customer_id],customer_tbl[Branch_id],"Not found")</f>
        <v>N02</v>
      </c>
      <c r="E592" t="s">
        <v>1098</v>
      </c>
      <c r="F592" t="s">
        <v>958</v>
      </c>
      <c r="G592" t="s">
        <v>939</v>
      </c>
      <c r="H592">
        <v>1</v>
      </c>
      <c r="I592">
        <v>90.53</v>
      </c>
      <c r="J592">
        <v>0</v>
      </c>
      <c r="K592" s="3">
        <v>0</v>
      </c>
      <c r="L592">
        <v>90.53</v>
      </c>
      <c r="M592">
        <v>12.489999999999995</v>
      </c>
      <c r="N592" t="str">
        <f>"P. "&amp;(Sales__tbl[[#This Row],[product_id]]&amp;"."&amp;TEXT(Sales__tbl[[#This Row],[selling_price]],"0.00"))</f>
        <v>P. P.id03.90.53</v>
      </c>
    </row>
    <row r="593" spans="1:14" x14ac:dyDescent="0.25">
      <c r="A593">
        <v>592</v>
      </c>
      <c r="B593" s="9" t="str">
        <f>TEXT(Sales__tbl[[#This Row],[date]],"MM")</f>
        <v>09</v>
      </c>
      <c r="C593" s="13">
        <v>45560</v>
      </c>
      <c r="D593" t="str">
        <f>_xlfn.XLOOKUP(Sales__tbl[[#This Row],[customer_id]],customer_tbl[customer_id],customer_tbl[Branch_id],"Not found")</f>
        <v>N02</v>
      </c>
      <c r="E593" t="s">
        <v>1098</v>
      </c>
      <c r="F593" t="s">
        <v>956</v>
      </c>
      <c r="G593" t="s">
        <v>831</v>
      </c>
      <c r="H593">
        <v>1</v>
      </c>
      <c r="I593">
        <v>303.48</v>
      </c>
      <c r="J593">
        <v>0.15</v>
      </c>
      <c r="K593" s="3">
        <v>45.521999999999991</v>
      </c>
      <c r="L593">
        <v>257.95800000000003</v>
      </c>
      <c r="M593">
        <v>64.658000000000015</v>
      </c>
      <c r="N593" t="str">
        <f>"P. "&amp;(Sales__tbl[[#This Row],[product_id]]&amp;"."&amp;TEXT(Sales__tbl[[#This Row],[selling_price]],"0.00"))</f>
        <v>P. P.id01.303.48</v>
      </c>
    </row>
    <row r="594" spans="1:14" x14ac:dyDescent="0.25">
      <c r="A594">
        <v>593</v>
      </c>
      <c r="B594" s="9" t="str">
        <f>TEXT(Sales__tbl[[#This Row],[date]],"MM")</f>
        <v>09</v>
      </c>
      <c r="C594" s="13">
        <v>45561</v>
      </c>
      <c r="D594" t="str">
        <f>_xlfn.XLOOKUP(Sales__tbl[[#This Row],[customer_id]],customer_tbl[customer_id],customer_tbl[Branch_id],"Not found")</f>
        <v>E02</v>
      </c>
      <c r="E594" t="s">
        <v>1144</v>
      </c>
      <c r="F594" t="s">
        <v>956</v>
      </c>
      <c r="G594" t="s">
        <v>831</v>
      </c>
      <c r="H594">
        <v>1</v>
      </c>
      <c r="I594">
        <v>303.48</v>
      </c>
      <c r="J594">
        <v>0.15</v>
      </c>
      <c r="K594" s="3">
        <v>45.521999999999991</v>
      </c>
      <c r="L594">
        <v>257.95800000000003</v>
      </c>
      <c r="M594">
        <v>64.658000000000015</v>
      </c>
      <c r="N594" t="str">
        <f>"P. "&amp;(Sales__tbl[[#This Row],[product_id]]&amp;"."&amp;TEXT(Sales__tbl[[#This Row],[selling_price]],"0.00"))</f>
        <v>P. P.id01.303.48</v>
      </c>
    </row>
    <row r="595" spans="1:14" x14ac:dyDescent="0.25">
      <c r="A595">
        <v>594</v>
      </c>
      <c r="B595" s="9" t="str">
        <f>TEXT(Sales__tbl[[#This Row],[date]],"MM")</f>
        <v>09</v>
      </c>
      <c r="C595" s="13">
        <v>45562</v>
      </c>
      <c r="D595" t="str">
        <f>_xlfn.XLOOKUP(Sales__tbl[[#This Row],[customer_id]],customer_tbl[customer_id],customer_tbl[Branch_id],"Not found")</f>
        <v>S01</v>
      </c>
      <c r="E595" t="s">
        <v>1076</v>
      </c>
      <c r="F595" t="s">
        <v>963</v>
      </c>
      <c r="G595" t="s">
        <v>942</v>
      </c>
      <c r="H595">
        <v>1</v>
      </c>
      <c r="I595">
        <v>274.16000000000003</v>
      </c>
      <c r="J595">
        <v>0.1</v>
      </c>
      <c r="K595" s="3">
        <v>27.415999999999997</v>
      </c>
      <c r="L595">
        <v>246.74400000000003</v>
      </c>
      <c r="M595">
        <v>56.354000000000042</v>
      </c>
      <c r="N595" t="str">
        <f>"P. "&amp;(Sales__tbl[[#This Row],[product_id]]&amp;"."&amp;TEXT(Sales__tbl[[#This Row],[selling_price]],"0.00"))</f>
        <v>P. P.id08.274.16</v>
      </c>
    </row>
    <row r="596" spans="1:14" x14ac:dyDescent="0.25">
      <c r="A596">
        <v>595</v>
      </c>
      <c r="B596" s="9" t="str">
        <f>TEXT(Sales__tbl[[#This Row],[date]],"MM")</f>
        <v>09</v>
      </c>
      <c r="C596" s="13">
        <v>45563</v>
      </c>
      <c r="D596" t="str">
        <f>_xlfn.XLOOKUP(Sales__tbl[[#This Row],[customer_id]],customer_tbl[customer_id],customer_tbl[Branch_id],"Not found")</f>
        <v>C02</v>
      </c>
      <c r="E596" t="s">
        <v>1175</v>
      </c>
      <c r="F596" t="s">
        <v>964</v>
      </c>
      <c r="G596" t="s">
        <v>943</v>
      </c>
      <c r="H596">
        <v>1</v>
      </c>
      <c r="I596">
        <v>190.58</v>
      </c>
      <c r="J596">
        <v>0.1</v>
      </c>
      <c r="K596" s="3">
        <v>19.057999999999993</v>
      </c>
      <c r="L596">
        <v>171.52200000000002</v>
      </c>
      <c r="M596">
        <v>23.782000000000011</v>
      </c>
      <c r="N596" t="str">
        <f>"P. "&amp;(Sales__tbl[[#This Row],[product_id]]&amp;"."&amp;TEXT(Sales__tbl[[#This Row],[selling_price]],"0.00"))</f>
        <v>P. P.id09.190.58</v>
      </c>
    </row>
    <row r="597" spans="1:14" x14ac:dyDescent="0.25">
      <c r="A597">
        <v>596</v>
      </c>
      <c r="B597" s="9" t="str">
        <f>TEXT(Sales__tbl[[#This Row],[date]],"MM")</f>
        <v>09</v>
      </c>
      <c r="C597" s="13">
        <v>45564</v>
      </c>
      <c r="D597" t="str">
        <f>_xlfn.XLOOKUP(Sales__tbl[[#This Row],[customer_id]],customer_tbl[customer_id],customer_tbl[Branch_id],"Not found")</f>
        <v>C01</v>
      </c>
      <c r="E597" t="s">
        <v>996</v>
      </c>
      <c r="F597" t="s">
        <v>964</v>
      </c>
      <c r="G597" t="s">
        <v>943</v>
      </c>
      <c r="H597">
        <v>1</v>
      </c>
      <c r="I597">
        <v>190.58</v>
      </c>
      <c r="J597">
        <v>0.1</v>
      </c>
      <c r="K597" s="3">
        <v>19.057999999999993</v>
      </c>
      <c r="L597">
        <v>171.52200000000002</v>
      </c>
      <c r="M597">
        <v>23.782000000000011</v>
      </c>
      <c r="N597" t="str">
        <f>"P. "&amp;(Sales__tbl[[#This Row],[product_id]]&amp;"."&amp;TEXT(Sales__tbl[[#This Row],[selling_price]],"0.00"))</f>
        <v>P. P.id09.190.58</v>
      </c>
    </row>
    <row r="598" spans="1:14" x14ac:dyDescent="0.25">
      <c r="A598">
        <v>597</v>
      </c>
      <c r="B598" s="9" t="str">
        <f>TEXT(Sales__tbl[[#This Row],[date]],"MM")</f>
        <v>09</v>
      </c>
      <c r="C598" s="13">
        <v>45565</v>
      </c>
      <c r="D598" t="str">
        <f>_xlfn.XLOOKUP(Sales__tbl[[#This Row],[customer_id]],customer_tbl[customer_id],customer_tbl[Branch_id],"Not found")</f>
        <v>N01</v>
      </c>
      <c r="E598" t="s">
        <v>1003</v>
      </c>
      <c r="F598" t="s">
        <v>961</v>
      </c>
      <c r="G598" t="s">
        <v>940</v>
      </c>
      <c r="H598">
        <v>1</v>
      </c>
      <c r="I598">
        <v>66.790000000000006</v>
      </c>
      <c r="J598">
        <v>0</v>
      </c>
      <c r="K598" s="3">
        <v>0</v>
      </c>
      <c r="L598">
        <v>66.790000000000006</v>
      </c>
      <c r="M598">
        <v>22.850000000000009</v>
      </c>
      <c r="N598" t="str">
        <f>"P. "&amp;(Sales__tbl[[#This Row],[product_id]]&amp;"."&amp;TEXT(Sales__tbl[[#This Row],[selling_price]],"0.00"))</f>
        <v>P. P.id06.66.79</v>
      </c>
    </row>
    <row r="599" spans="1:14" x14ac:dyDescent="0.25">
      <c r="A599">
        <v>598</v>
      </c>
      <c r="B599" s="9" t="str">
        <f>TEXT(Sales__tbl[[#This Row],[date]],"MM")</f>
        <v>10</v>
      </c>
      <c r="C599" s="13">
        <v>45566</v>
      </c>
      <c r="D599" t="str">
        <f>_xlfn.XLOOKUP(Sales__tbl[[#This Row],[customer_id]],customer_tbl[customer_id],customer_tbl[Branch_id],"Not found")</f>
        <v>S02</v>
      </c>
      <c r="E599" t="s">
        <v>1085</v>
      </c>
      <c r="F599" t="s">
        <v>958</v>
      </c>
      <c r="G599" t="s">
        <v>939</v>
      </c>
      <c r="H599">
        <v>1</v>
      </c>
      <c r="I599">
        <v>90.53</v>
      </c>
      <c r="J599">
        <v>0</v>
      </c>
      <c r="K599" s="3">
        <v>0</v>
      </c>
      <c r="L599">
        <v>90.53</v>
      </c>
      <c r="M599">
        <v>12.489999999999995</v>
      </c>
      <c r="N599" t="str">
        <f>"P. "&amp;(Sales__tbl[[#This Row],[product_id]]&amp;"."&amp;TEXT(Sales__tbl[[#This Row],[selling_price]],"0.00"))</f>
        <v>P. P.id03.90.53</v>
      </c>
    </row>
    <row r="600" spans="1:14" x14ac:dyDescent="0.25">
      <c r="A600">
        <v>599</v>
      </c>
      <c r="B600" s="9" t="str">
        <f>TEXT(Sales__tbl[[#This Row],[date]],"MM")</f>
        <v>10</v>
      </c>
      <c r="C600" s="13">
        <v>45567</v>
      </c>
      <c r="D600" t="str">
        <f>_xlfn.XLOOKUP(Sales__tbl[[#This Row],[customer_id]],customer_tbl[customer_id],customer_tbl[Branch_id],"Not found")</f>
        <v>C01</v>
      </c>
      <c r="E600" t="s">
        <v>1037</v>
      </c>
      <c r="F600" t="s">
        <v>967</v>
      </c>
      <c r="G600" t="s">
        <v>872</v>
      </c>
      <c r="H600">
        <v>1</v>
      </c>
      <c r="I600">
        <v>91.73</v>
      </c>
      <c r="J600">
        <v>0</v>
      </c>
      <c r="K600" s="3">
        <v>0</v>
      </c>
      <c r="L600">
        <v>91.73</v>
      </c>
      <c r="M600">
        <v>15.290000000000006</v>
      </c>
      <c r="N600" t="str">
        <f>"P. "&amp;(Sales__tbl[[#This Row],[product_id]]&amp;"."&amp;TEXT(Sales__tbl[[#This Row],[selling_price]],"0.00"))</f>
        <v>P. P.id12.91.73</v>
      </c>
    </row>
    <row r="601" spans="1:14" x14ac:dyDescent="0.25">
      <c r="A601">
        <v>600</v>
      </c>
      <c r="B601" s="9" t="str">
        <f>TEXT(Sales__tbl[[#This Row],[date]],"MM")</f>
        <v>10</v>
      </c>
      <c r="C601" s="13">
        <v>45568</v>
      </c>
      <c r="D601" t="str">
        <f>_xlfn.XLOOKUP(Sales__tbl[[#This Row],[customer_id]],customer_tbl[customer_id],customer_tbl[Branch_id],"Not found")</f>
        <v>N01</v>
      </c>
      <c r="E601" t="s">
        <v>1016</v>
      </c>
      <c r="F601" t="s">
        <v>961</v>
      </c>
      <c r="G601" t="s">
        <v>940</v>
      </c>
      <c r="H601">
        <v>1</v>
      </c>
      <c r="I601">
        <v>66.790000000000006</v>
      </c>
      <c r="J601">
        <v>0</v>
      </c>
      <c r="K601" s="3">
        <v>0</v>
      </c>
      <c r="L601">
        <v>66.790000000000006</v>
      </c>
      <c r="M601">
        <v>22.850000000000009</v>
      </c>
      <c r="N601" t="str">
        <f>"P. "&amp;(Sales__tbl[[#This Row],[product_id]]&amp;"."&amp;TEXT(Sales__tbl[[#This Row],[selling_price]],"0.00"))</f>
        <v>P. P.id06.66.79</v>
      </c>
    </row>
    <row r="602" spans="1:14" x14ac:dyDescent="0.25">
      <c r="A602">
        <v>601</v>
      </c>
      <c r="B602" s="9" t="str">
        <f>TEXT(Sales__tbl[[#This Row],[date]],"MM")</f>
        <v>10</v>
      </c>
      <c r="C602" s="13">
        <v>45569</v>
      </c>
      <c r="D602" t="str">
        <f>_xlfn.XLOOKUP(Sales__tbl[[#This Row],[customer_id]],customer_tbl[customer_id],customer_tbl[Branch_id],"Not found")</f>
        <v>W01</v>
      </c>
      <c r="E602" t="s">
        <v>995</v>
      </c>
      <c r="F602" t="s">
        <v>964</v>
      </c>
      <c r="G602" t="s">
        <v>943</v>
      </c>
      <c r="H602">
        <v>2</v>
      </c>
      <c r="I602">
        <v>190.58</v>
      </c>
      <c r="J602">
        <v>0.15</v>
      </c>
      <c r="K602" s="3">
        <v>57.174000000000035</v>
      </c>
      <c r="L602">
        <v>323.98599999999999</v>
      </c>
      <c r="M602">
        <v>28.505999999999972</v>
      </c>
      <c r="N602" t="str">
        <f>"P. "&amp;(Sales__tbl[[#This Row],[product_id]]&amp;"."&amp;TEXT(Sales__tbl[[#This Row],[selling_price]],"0.00"))</f>
        <v>P. P.id09.190.58</v>
      </c>
    </row>
    <row r="603" spans="1:14" x14ac:dyDescent="0.25">
      <c r="A603">
        <v>602</v>
      </c>
      <c r="B603" s="9" t="str">
        <f>TEXT(Sales__tbl[[#This Row],[date]],"MM")</f>
        <v>10</v>
      </c>
      <c r="C603" s="13">
        <v>45570</v>
      </c>
      <c r="D603" t="str">
        <f>_xlfn.XLOOKUP(Sales__tbl[[#This Row],[customer_id]],customer_tbl[customer_id],customer_tbl[Branch_id],"Not found")</f>
        <v>E01</v>
      </c>
      <c r="E603" t="s">
        <v>1169</v>
      </c>
      <c r="F603" t="s">
        <v>959</v>
      </c>
      <c r="G603" t="s">
        <v>837</v>
      </c>
      <c r="H603">
        <v>1</v>
      </c>
      <c r="I603">
        <v>11.53</v>
      </c>
      <c r="J603">
        <v>0</v>
      </c>
      <c r="K603" s="3">
        <v>0</v>
      </c>
      <c r="L603">
        <v>11.53</v>
      </c>
      <c r="M603">
        <v>2.5199999999999996</v>
      </c>
      <c r="N603" t="str">
        <f>"P. "&amp;(Sales__tbl[[#This Row],[product_id]]&amp;"."&amp;TEXT(Sales__tbl[[#This Row],[selling_price]],"0.00"))</f>
        <v>P. P.id04.11.53</v>
      </c>
    </row>
    <row r="604" spans="1:14" x14ac:dyDescent="0.25">
      <c r="A604">
        <v>603</v>
      </c>
      <c r="B604" s="9" t="str">
        <f>TEXT(Sales__tbl[[#This Row],[date]],"MM")</f>
        <v>10</v>
      </c>
      <c r="C604" s="13">
        <v>45571</v>
      </c>
      <c r="D604" t="str">
        <f>_xlfn.XLOOKUP(Sales__tbl[[#This Row],[customer_id]],customer_tbl[customer_id],customer_tbl[Branch_id],"Not found")</f>
        <v>N02</v>
      </c>
      <c r="E604" t="s">
        <v>1018</v>
      </c>
      <c r="F604" t="s">
        <v>967</v>
      </c>
      <c r="G604" t="s">
        <v>872</v>
      </c>
      <c r="H604">
        <v>4</v>
      </c>
      <c r="I604">
        <v>91.73</v>
      </c>
      <c r="J604">
        <v>0.15</v>
      </c>
      <c r="K604" s="3">
        <v>55.038000000000011</v>
      </c>
      <c r="L604">
        <v>311.88200000000001</v>
      </c>
      <c r="M604">
        <v>6.1220000000000141</v>
      </c>
      <c r="N604" t="str">
        <f>"P. "&amp;(Sales__tbl[[#This Row],[product_id]]&amp;"."&amp;TEXT(Sales__tbl[[#This Row],[selling_price]],"0.00"))</f>
        <v>P. P.id12.91.73</v>
      </c>
    </row>
    <row r="605" spans="1:14" x14ac:dyDescent="0.25">
      <c r="A605">
        <v>604</v>
      </c>
      <c r="B605" s="9" t="str">
        <f>TEXT(Sales__tbl[[#This Row],[date]],"MM")</f>
        <v>10</v>
      </c>
      <c r="C605" s="13">
        <v>45572</v>
      </c>
      <c r="D605" t="str">
        <f>_xlfn.XLOOKUP(Sales__tbl[[#This Row],[customer_id]],customer_tbl[customer_id],customer_tbl[Branch_id],"Not found")</f>
        <v>E02</v>
      </c>
      <c r="E605" t="s">
        <v>1158</v>
      </c>
      <c r="F605" t="s">
        <v>956</v>
      </c>
      <c r="G605" t="s">
        <v>831</v>
      </c>
      <c r="H605">
        <v>1</v>
      </c>
      <c r="I605">
        <v>303.48</v>
      </c>
      <c r="J605">
        <v>0.15</v>
      </c>
      <c r="K605" s="3">
        <v>45.521999999999991</v>
      </c>
      <c r="L605">
        <v>257.95800000000003</v>
      </c>
      <c r="M605">
        <v>64.658000000000015</v>
      </c>
      <c r="N605" t="str">
        <f>"P. "&amp;(Sales__tbl[[#This Row],[product_id]]&amp;"."&amp;TEXT(Sales__tbl[[#This Row],[selling_price]],"0.00"))</f>
        <v>P. P.id01.303.48</v>
      </c>
    </row>
    <row r="606" spans="1:14" x14ac:dyDescent="0.25">
      <c r="A606">
        <v>605</v>
      </c>
      <c r="B606" s="9" t="str">
        <f>TEXT(Sales__tbl[[#This Row],[date]],"MM")</f>
        <v>10</v>
      </c>
      <c r="C606" s="13">
        <v>45573</v>
      </c>
      <c r="D606" t="str">
        <f>_xlfn.XLOOKUP(Sales__tbl[[#This Row],[customer_id]],customer_tbl[customer_id],customer_tbl[Branch_id],"Not found")</f>
        <v>S02</v>
      </c>
      <c r="E606" t="s">
        <v>1073</v>
      </c>
      <c r="F606" t="s">
        <v>964</v>
      </c>
      <c r="G606" t="s">
        <v>943</v>
      </c>
      <c r="H606">
        <v>2</v>
      </c>
      <c r="I606">
        <v>190.58</v>
      </c>
      <c r="J606">
        <v>0.15</v>
      </c>
      <c r="K606" s="3">
        <v>57.174000000000035</v>
      </c>
      <c r="L606">
        <v>323.98599999999999</v>
      </c>
      <c r="M606">
        <v>28.505999999999972</v>
      </c>
      <c r="N606" t="str">
        <f>"P. "&amp;(Sales__tbl[[#This Row],[product_id]]&amp;"."&amp;TEXT(Sales__tbl[[#This Row],[selling_price]],"0.00"))</f>
        <v>P. P.id09.190.58</v>
      </c>
    </row>
    <row r="607" spans="1:14" x14ac:dyDescent="0.25">
      <c r="A607">
        <v>606</v>
      </c>
      <c r="B607" s="9" t="str">
        <f>TEXT(Sales__tbl[[#This Row],[date]],"MM")</f>
        <v>10</v>
      </c>
      <c r="C607" s="13">
        <v>45574</v>
      </c>
      <c r="D607" t="str">
        <f>_xlfn.XLOOKUP(Sales__tbl[[#This Row],[customer_id]],customer_tbl[customer_id],customer_tbl[Branch_id],"Not found")</f>
        <v>E02</v>
      </c>
      <c r="E607" t="s">
        <v>1149</v>
      </c>
      <c r="F607" t="s">
        <v>958</v>
      </c>
      <c r="G607" t="s">
        <v>939</v>
      </c>
      <c r="H607">
        <v>1</v>
      </c>
      <c r="I607">
        <v>90.53</v>
      </c>
      <c r="J607">
        <v>0</v>
      </c>
      <c r="K607" s="3">
        <v>0</v>
      </c>
      <c r="L607">
        <v>90.53</v>
      </c>
      <c r="M607">
        <v>12.489999999999995</v>
      </c>
      <c r="N607" t="str">
        <f>"P. "&amp;(Sales__tbl[[#This Row],[product_id]]&amp;"."&amp;TEXT(Sales__tbl[[#This Row],[selling_price]],"0.00"))</f>
        <v>P. P.id03.90.53</v>
      </c>
    </row>
    <row r="608" spans="1:14" x14ac:dyDescent="0.25">
      <c r="A608">
        <v>607</v>
      </c>
      <c r="B608" s="9" t="str">
        <f>TEXT(Sales__tbl[[#This Row],[date]],"MM")</f>
        <v>10</v>
      </c>
      <c r="C608" s="13">
        <v>45575</v>
      </c>
      <c r="D608" t="str">
        <f>_xlfn.XLOOKUP(Sales__tbl[[#This Row],[customer_id]],customer_tbl[customer_id],customer_tbl[Branch_id],"Not found")</f>
        <v>N02</v>
      </c>
      <c r="E608" t="s">
        <v>1067</v>
      </c>
      <c r="F608" t="s">
        <v>966</v>
      </c>
      <c r="G608" t="s">
        <v>851</v>
      </c>
      <c r="H608">
        <v>3</v>
      </c>
      <c r="I608">
        <v>196.75</v>
      </c>
      <c r="J608">
        <v>0.2</v>
      </c>
      <c r="K608" s="3">
        <v>118.04999999999995</v>
      </c>
      <c r="L608">
        <v>472.20000000000005</v>
      </c>
      <c r="M608">
        <v>3.75</v>
      </c>
      <c r="N608" t="str">
        <f>"P. "&amp;(Sales__tbl[[#This Row],[product_id]]&amp;"."&amp;TEXT(Sales__tbl[[#This Row],[selling_price]],"0.00"))</f>
        <v>P. P.id11.196.75</v>
      </c>
    </row>
    <row r="609" spans="1:14" x14ac:dyDescent="0.25">
      <c r="A609">
        <v>608</v>
      </c>
      <c r="B609" s="9" t="str">
        <f>TEXT(Sales__tbl[[#This Row],[date]],"MM")</f>
        <v>10</v>
      </c>
      <c r="C609" s="13">
        <v>45576</v>
      </c>
      <c r="D609" t="str">
        <f>_xlfn.XLOOKUP(Sales__tbl[[#This Row],[customer_id]],customer_tbl[customer_id],customer_tbl[Branch_id],"Not found")</f>
        <v>C01</v>
      </c>
      <c r="E609" t="s">
        <v>999</v>
      </c>
      <c r="F609" t="s">
        <v>964</v>
      </c>
      <c r="G609" t="s">
        <v>943</v>
      </c>
      <c r="H609">
        <v>1</v>
      </c>
      <c r="I609">
        <v>190.58</v>
      </c>
      <c r="J609">
        <v>0.1</v>
      </c>
      <c r="K609" s="3">
        <v>19.057999999999993</v>
      </c>
      <c r="L609">
        <v>171.52200000000002</v>
      </c>
      <c r="M609">
        <v>23.782000000000011</v>
      </c>
      <c r="N609" t="str">
        <f>"P. "&amp;(Sales__tbl[[#This Row],[product_id]]&amp;"."&amp;TEXT(Sales__tbl[[#This Row],[selling_price]],"0.00"))</f>
        <v>P. P.id09.190.58</v>
      </c>
    </row>
    <row r="610" spans="1:14" x14ac:dyDescent="0.25">
      <c r="A610">
        <v>609</v>
      </c>
      <c r="B610" s="9" t="str">
        <f>TEXT(Sales__tbl[[#This Row],[date]],"MM")</f>
        <v>10</v>
      </c>
      <c r="C610" s="13">
        <v>45577</v>
      </c>
      <c r="D610" t="str">
        <f>_xlfn.XLOOKUP(Sales__tbl[[#This Row],[customer_id]],customer_tbl[customer_id],customer_tbl[Branch_id],"Not found")</f>
        <v>S02</v>
      </c>
      <c r="E610" t="s">
        <v>1153</v>
      </c>
      <c r="F610" t="s">
        <v>961</v>
      </c>
      <c r="G610" t="s">
        <v>940</v>
      </c>
      <c r="H610">
        <v>1</v>
      </c>
      <c r="I610">
        <v>66.790000000000006</v>
      </c>
      <c r="J610">
        <v>0</v>
      </c>
      <c r="K610" s="3">
        <v>0</v>
      </c>
      <c r="L610">
        <v>66.790000000000006</v>
      </c>
      <c r="M610">
        <v>22.850000000000009</v>
      </c>
      <c r="N610" t="str">
        <f>"P. "&amp;(Sales__tbl[[#This Row],[product_id]]&amp;"."&amp;TEXT(Sales__tbl[[#This Row],[selling_price]],"0.00"))</f>
        <v>P. P.id06.66.79</v>
      </c>
    </row>
    <row r="611" spans="1:14" x14ac:dyDescent="0.25">
      <c r="A611">
        <v>610</v>
      </c>
      <c r="B611" s="9" t="str">
        <f>TEXT(Sales__tbl[[#This Row],[date]],"MM")</f>
        <v>10</v>
      </c>
      <c r="C611" s="13">
        <v>45578</v>
      </c>
      <c r="D611" t="str">
        <f>_xlfn.XLOOKUP(Sales__tbl[[#This Row],[customer_id]],customer_tbl[customer_id],customer_tbl[Branch_id],"Not found")</f>
        <v>S02</v>
      </c>
      <c r="E611" t="s">
        <v>1112</v>
      </c>
      <c r="F611" t="s">
        <v>964</v>
      </c>
      <c r="G611" t="s">
        <v>943</v>
      </c>
      <c r="H611">
        <v>2</v>
      </c>
      <c r="I611">
        <v>190.58</v>
      </c>
      <c r="J611">
        <v>0.15</v>
      </c>
      <c r="K611" s="3">
        <v>57.174000000000035</v>
      </c>
      <c r="L611">
        <v>323.98599999999999</v>
      </c>
      <c r="M611">
        <v>28.505999999999972</v>
      </c>
      <c r="N611" t="str">
        <f>"P. "&amp;(Sales__tbl[[#This Row],[product_id]]&amp;"."&amp;TEXT(Sales__tbl[[#This Row],[selling_price]],"0.00"))</f>
        <v>P. P.id09.190.58</v>
      </c>
    </row>
    <row r="612" spans="1:14" x14ac:dyDescent="0.25">
      <c r="A612">
        <v>611</v>
      </c>
      <c r="B612" s="9" t="str">
        <f>TEXT(Sales__tbl[[#This Row],[date]],"MM")</f>
        <v>10</v>
      </c>
      <c r="C612" s="13">
        <v>45579</v>
      </c>
      <c r="D612" t="str">
        <f>_xlfn.XLOOKUP(Sales__tbl[[#This Row],[customer_id]],customer_tbl[customer_id],customer_tbl[Branch_id],"Not found")</f>
        <v>C02</v>
      </c>
      <c r="E612" t="s">
        <v>1054</v>
      </c>
      <c r="F612" t="s">
        <v>965</v>
      </c>
      <c r="G612" t="s">
        <v>847</v>
      </c>
      <c r="H612">
        <v>1</v>
      </c>
      <c r="I612">
        <v>168</v>
      </c>
      <c r="J612">
        <v>0.1</v>
      </c>
      <c r="K612" s="3">
        <v>16.799999999999983</v>
      </c>
      <c r="L612">
        <v>151.20000000000002</v>
      </c>
      <c r="M612">
        <v>29.460000000000022</v>
      </c>
      <c r="N612" t="str">
        <f>"P. "&amp;(Sales__tbl[[#This Row],[product_id]]&amp;"."&amp;TEXT(Sales__tbl[[#This Row],[selling_price]],"0.00"))</f>
        <v>P. P.id10.168.00</v>
      </c>
    </row>
    <row r="613" spans="1:14" x14ac:dyDescent="0.25">
      <c r="A613">
        <v>612</v>
      </c>
      <c r="B613" s="9" t="str">
        <f>TEXT(Sales__tbl[[#This Row],[date]],"MM")</f>
        <v>10</v>
      </c>
      <c r="C613" s="13">
        <v>45580</v>
      </c>
      <c r="D613" t="str">
        <f>_xlfn.XLOOKUP(Sales__tbl[[#This Row],[customer_id]],customer_tbl[customer_id],customer_tbl[Branch_id],"Not found")</f>
        <v>C01</v>
      </c>
      <c r="E613" t="s">
        <v>1122</v>
      </c>
      <c r="F613" t="s">
        <v>959</v>
      </c>
      <c r="G613" t="s">
        <v>837</v>
      </c>
      <c r="H613">
        <v>2</v>
      </c>
      <c r="I613">
        <v>11.53</v>
      </c>
      <c r="J613">
        <v>0</v>
      </c>
      <c r="K613" s="3">
        <v>0</v>
      </c>
      <c r="L613">
        <v>23.06</v>
      </c>
      <c r="M613">
        <v>5.0399999999999991</v>
      </c>
      <c r="N613" t="str">
        <f>"P. "&amp;(Sales__tbl[[#This Row],[product_id]]&amp;"."&amp;TEXT(Sales__tbl[[#This Row],[selling_price]],"0.00"))</f>
        <v>P. P.id04.11.53</v>
      </c>
    </row>
    <row r="614" spans="1:14" x14ac:dyDescent="0.25">
      <c r="A614">
        <v>613</v>
      </c>
      <c r="B614" s="9" t="str">
        <f>TEXT(Sales__tbl[[#This Row],[date]],"MM")</f>
        <v>10</v>
      </c>
      <c r="C614" s="13">
        <v>45581</v>
      </c>
      <c r="D614" t="str">
        <f>_xlfn.XLOOKUP(Sales__tbl[[#This Row],[customer_id]],customer_tbl[customer_id],customer_tbl[Branch_id],"Not found")</f>
        <v>W02</v>
      </c>
      <c r="E614" t="s">
        <v>1123</v>
      </c>
      <c r="F614" t="s">
        <v>956</v>
      </c>
      <c r="G614" t="s">
        <v>831</v>
      </c>
      <c r="H614">
        <v>1</v>
      </c>
      <c r="I614">
        <v>303.48</v>
      </c>
      <c r="J614">
        <v>0.15</v>
      </c>
      <c r="K614" s="3">
        <v>45.521999999999991</v>
      </c>
      <c r="L614">
        <v>257.95800000000003</v>
      </c>
      <c r="M614">
        <v>64.658000000000015</v>
      </c>
      <c r="N614" t="str">
        <f>"P. "&amp;(Sales__tbl[[#This Row],[product_id]]&amp;"."&amp;TEXT(Sales__tbl[[#This Row],[selling_price]],"0.00"))</f>
        <v>P. P.id01.303.48</v>
      </c>
    </row>
    <row r="615" spans="1:14" x14ac:dyDescent="0.25">
      <c r="A615">
        <v>614</v>
      </c>
      <c r="B615" s="9" t="str">
        <f>TEXT(Sales__tbl[[#This Row],[date]],"MM")</f>
        <v>10</v>
      </c>
      <c r="C615" s="13">
        <v>45582</v>
      </c>
      <c r="D615" t="str">
        <f>_xlfn.XLOOKUP(Sales__tbl[[#This Row],[customer_id]],customer_tbl[customer_id],customer_tbl[Branch_id],"Not found")</f>
        <v>C01</v>
      </c>
      <c r="E615" t="s">
        <v>1130</v>
      </c>
      <c r="F615" t="s">
        <v>959</v>
      </c>
      <c r="G615" t="s">
        <v>837</v>
      </c>
      <c r="H615">
        <v>1</v>
      </c>
      <c r="I615">
        <v>11.53</v>
      </c>
      <c r="J615">
        <v>0</v>
      </c>
      <c r="K615" s="3">
        <v>0</v>
      </c>
      <c r="L615">
        <v>11.53</v>
      </c>
      <c r="M615">
        <v>2.5199999999999996</v>
      </c>
      <c r="N615" t="str">
        <f>"P. "&amp;(Sales__tbl[[#This Row],[product_id]]&amp;"."&amp;TEXT(Sales__tbl[[#This Row],[selling_price]],"0.00"))</f>
        <v>P. P.id04.11.53</v>
      </c>
    </row>
    <row r="616" spans="1:14" x14ac:dyDescent="0.25">
      <c r="A616">
        <v>615</v>
      </c>
      <c r="B616" s="9" t="str">
        <f>TEXT(Sales__tbl[[#This Row],[date]],"MM")</f>
        <v>10</v>
      </c>
      <c r="C616" s="13">
        <v>45583</v>
      </c>
      <c r="D616" t="str">
        <f>_xlfn.XLOOKUP(Sales__tbl[[#This Row],[customer_id]],customer_tbl[customer_id],customer_tbl[Branch_id],"Not found")</f>
        <v>E02</v>
      </c>
      <c r="E616" t="s">
        <v>1034</v>
      </c>
      <c r="F616" t="s">
        <v>958</v>
      </c>
      <c r="G616" t="s">
        <v>939</v>
      </c>
      <c r="H616">
        <v>1</v>
      </c>
      <c r="I616">
        <v>90.53</v>
      </c>
      <c r="J616">
        <v>0</v>
      </c>
      <c r="K616" s="3">
        <v>0</v>
      </c>
      <c r="L616">
        <v>90.53</v>
      </c>
      <c r="M616">
        <v>12.489999999999995</v>
      </c>
      <c r="N616" t="str">
        <f>"P. "&amp;(Sales__tbl[[#This Row],[product_id]]&amp;"."&amp;TEXT(Sales__tbl[[#This Row],[selling_price]],"0.00"))</f>
        <v>P. P.id03.90.53</v>
      </c>
    </row>
    <row r="617" spans="1:14" x14ac:dyDescent="0.25">
      <c r="A617">
        <v>616</v>
      </c>
      <c r="B617" s="9" t="str">
        <f>TEXT(Sales__tbl[[#This Row],[date]],"MM")</f>
        <v>10</v>
      </c>
      <c r="C617" s="13">
        <v>45584</v>
      </c>
      <c r="D617" t="str">
        <f>_xlfn.XLOOKUP(Sales__tbl[[#This Row],[customer_id]],customer_tbl[customer_id],customer_tbl[Branch_id],"Not found")</f>
        <v>C01</v>
      </c>
      <c r="E617" t="s">
        <v>1010</v>
      </c>
      <c r="F617" t="s">
        <v>956</v>
      </c>
      <c r="G617" t="s">
        <v>831</v>
      </c>
      <c r="H617">
        <v>2</v>
      </c>
      <c r="I617">
        <v>303.48</v>
      </c>
      <c r="J617">
        <v>0.2</v>
      </c>
      <c r="K617" s="3">
        <v>121.392</v>
      </c>
      <c r="L617">
        <v>485.56800000000004</v>
      </c>
      <c r="M617">
        <v>98.968000000000018</v>
      </c>
      <c r="N617" t="str">
        <f>"P. "&amp;(Sales__tbl[[#This Row],[product_id]]&amp;"."&amp;TEXT(Sales__tbl[[#This Row],[selling_price]],"0.00"))</f>
        <v>P. P.id01.303.48</v>
      </c>
    </row>
    <row r="618" spans="1:14" x14ac:dyDescent="0.25">
      <c r="A618">
        <v>617</v>
      </c>
      <c r="B618" s="9" t="str">
        <f>TEXT(Sales__tbl[[#This Row],[date]],"MM")</f>
        <v>10</v>
      </c>
      <c r="C618" s="13">
        <v>45585</v>
      </c>
      <c r="D618" t="str">
        <f>_xlfn.XLOOKUP(Sales__tbl[[#This Row],[customer_id]],customer_tbl[customer_id],customer_tbl[Branch_id],"Not found")</f>
        <v>N01</v>
      </c>
      <c r="E618" t="s">
        <v>1190</v>
      </c>
      <c r="F618" t="s">
        <v>963</v>
      </c>
      <c r="G618" t="s">
        <v>942</v>
      </c>
      <c r="H618">
        <v>1</v>
      </c>
      <c r="I618">
        <v>274.16000000000003</v>
      </c>
      <c r="J618">
        <v>0.1</v>
      </c>
      <c r="K618" s="3">
        <v>27.415999999999997</v>
      </c>
      <c r="L618">
        <v>246.74400000000003</v>
      </c>
      <c r="M618">
        <v>56.354000000000042</v>
      </c>
      <c r="N618" t="str">
        <f>"P. "&amp;(Sales__tbl[[#This Row],[product_id]]&amp;"."&amp;TEXT(Sales__tbl[[#This Row],[selling_price]],"0.00"))</f>
        <v>P. P.id08.274.16</v>
      </c>
    </row>
    <row r="619" spans="1:14" x14ac:dyDescent="0.25">
      <c r="A619">
        <v>618</v>
      </c>
      <c r="B619" s="9" t="str">
        <f>TEXT(Sales__tbl[[#This Row],[date]],"MM")</f>
        <v>10</v>
      </c>
      <c r="C619" s="13">
        <v>45586</v>
      </c>
      <c r="D619" t="str">
        <f>_xlfn.XLOOKUP(Sales__tbl[[#This Row],[customer_id]],customer_tbl[customer_id],customer_tbl[Branch_id],"Not found")</f>
        <v>E01</v>
      </c>
      <c r="E619" t="s">
        <v>1074</v>
      </c>
      <c r="F619" t="s">
        <v>964</v>
      </c>
      <c r="G619" t="s">
        <v>943</v>
      </c>
      <c r="H619">
        <v>2</v>
      </c>
      <c r="I619">
        <v>190.58</v>
      </c>
      <c r="J619">
        <v>0.15</v>
      </c>
      <c r="K619" s="3">
        <v>57.174000000000035</v>
      </c>
      <c r="L619">
        <v>323.98599999999999</v>
      </c>
      <c r="M619">
        <v>28.505999999999972</v>
      </c>
      <c r="N619" t="str">
        <f>"P. "&amp;(Sales__tbl[[#This Row],[product_id]]&amp;"."&amp;TEXT(Sales__tbl[[#This Row],[selling_price]],"0.00"))</f>
        <v>P. P.id09.190.58</v>
      </c>
    </row>
    <row r="620" spans="1:14" x14ac:dyDescent="0.25">
      <c r="A620">
        <v>619</v>
      </c>
      <c r="B620" s="9" t="str">
        <f>TEXT(Sales__tbl[[#This Row],[date]],"MM")</f>
        <v>10</v>
      </c>
      <c r="C620" s="13">
        <v>45587</v>
      </c>
      <c r="D620" t="str">
        <f>_xlfn.XLOOKUP(Sales__tbl[[#This Row],[customer_id]],customer_tbl[customer_id],customer_tbl[Branch_id],"Not found")</f>
        <v>N01</v>
      </c>
      <c r="E620" t="s">
        <v>1069</v>
      </c>
      <c r="F620" t="s">
        <v>959</v>
      </c>
      <c r="G620" t="s">
        <v>837</v>
      </c>
      <c r="H620">
        <v>2</v>
      </c>
      <c r="I620">
        <v>11.53</v>
      </c>
      <c r="J620">
        <v>0</v>
      </c>
      <c r="K620" s="3">
        <v>0</v>
      </c>
      <c r="L620">
        <v>23.06</v>
      </c>
      <c r="M620">
        <v>5.0399999999999991</v>
      </c>
      <c r="N620" t="str">
        <f>"P. "&amp;(Sales__tbl[[#This Row],[product_id]]&amp;"."&amp;TEXT(Sales__tbl[[#This Row],[selling_price]],"0.00"))</f>
        <v>P. P.id04.11.53</v>
      </c>
    </row>
    <row r="621" spans="1:14" x14ac:dyDescent="0.25">
      <c r="A621">
        <v>620</v>
      </c>
      <c r="B621" s="9" t="str">
        <f>TEXT(Sales__tbl[[#This Row],[date]],"MM")</f>
        <v>10</v>
      </c>
      <c r="C621" s="13">
        <v>45588</v>
      </c>
      <c r="D621" t="str">
        <f>_xlfn.XLOOKUP(Sales__tbl[[#This Row],[customer_id]],customer_tbl[customer_id],customer_tbl[Branch_id],"Not found")</f>
        <v>N01</v>
      </c>
      <c r="E621" t="s">
        <v>1181</v>
      </c>
      <c r="F621" t="s">
        <v>956</v>
      </c>
      <c r="G621" t="s">
        <v>831</v>
      </c>
      <c r="H621">
        <v>2</v>
      </c>
      <c r="I621">
        <v>303.48</v>
      </c>
      <c r="J621">
        <v>0.2</v>
      </c>
      <c r="K621" s="3">
        <v>121.392</v>
      </c>
      <c r="L621">
        <v>485.56800000000004</v>
      </c>
      <c r="M621">
        <v>98.968000000000018</v>
      </c>
      <c r="N621" t="str">
        <f>"P. "&amp;(Sales__tbl[[#This Row],[product_id]]&amp;"."&amp;TEXT(Sales__tbl[[#This Row],[selling_price]],"0.00"))</f>
        <v>P. P.id01.303.48</v>
      </c>
    </row>
    <row r="622" spans="1:14" x14ac:dyDescent="0.25">
      <c r="A622">
        <v>621</v>
      </c>
      <c r="B622" s="9" t="str">
        <f>TEXT(Sales__tbl[[#This Row],[date]],"MM")</f>
        <v>10</v>
      </c>
      <c r="C622" s="13">
        <v>45589</v>
      </c>
      <c r="D622" t="str">
        <f>_xlfn.XLOOKUP(Sales__tbl[[#This Row],[customer_id]],customer_tbl[customer_id],customer_tbl[Branch_id],"Not found")</f>
        <v>N02</v>
      </c>
      <c r="E622" t="s">
        <v>985</v>
      </c>
      <c r="F622" t="s">
        <v>957</v>
      </c>
      <c r="G622" t="s">
        <v>833</v>
      </c>
      <c r="H622">
        <v>2</v>
      </c>
      <c r="I622">
        <v>55.26</v>
      </c>
      <c r="J622">
        <v>0</v>
      </c>
      <c r="K622" s="3">
        <v>0</v>
      </c>
      <c r="L622">
        <v>110.52</v>
      </c>
      <c r="M622">
        <v>39.679999999999993</v>
      </c>
      <c r="N622" t="str">
        <f>"P. "&amp;(Sales__tbl[[#This Row],[product_id]]&amp;"."&amp;TEXT(Sales__tbl[[#This Row],[selling_price]],"0.00"))</f>
        <v>P. P.id02.55.26</v>
      </c>
    </row>
    <row r="623" spans="1:14" x14ac:dyDescent="0.25">
      <c r="A623">
        <v>622</v>
      </c>
      <c r="B623" s="9" t="str">
        <f>TEXT(Sales__tbl[[#This Row],[date]],"MM")</f>
        <v>10</v>
      </c>
      <c r="C623" s="13">
        <v>45590</v>
      </c>
      <c r="D623" t="str">
        <f>_xlfn.XLOOKUP(Sales__tbl[[#This Row],[customer_id]],customer_tbl[customer_id],customer_tbl[Branch_id],"Not found")</f>
        <v>E02</v>
      </c>
      <c r="E623" t="s">
        <v>1100</v>
      </c>
      <c r="F623" t="s">
        <v>962</v>
      </c>
      <c r="G623" t="s">
        <v>941</v>
      </c>
      <c r="H623">
        <v>1</v>
      </c>
      <c r="I623">
        <v>259.11</v>
      </c>
      <c r="J623">
        <v>0.1</v>
      </c>
      <c r="K623" s="3">
        <v>25.911000000000001</v>
      </c>
      <c r="L623">
        <v>233.19900000000001</v>
      </c>
      <c r="M623">
        <v>59.299000000000007</v>
      </c>
      <c r="N623" t="str">
        <f>"P. "&amp;(Sales__tbl[[#This Row],[product_id]]&amp;"."&amp;TEXT(Sales__tbl[[#This Row],[selling_price]],"0.00"))</f>
        <v>P. P.id07.259.11</v>
      </c>
    </row>
    <row r="624" spans="1:14" x14ac:dyDescent="0.25">
      <c r="A624">
        <v>623</v>
      </c>
      <c r="B624" s="9" t="str">
        <f>TEXT(Sales__tbl[[#This Row],[date]],"MM")</f>
        <v>10</v>
      </c>
      <c r="C624" s="13">
        <v>45591</v>
      </c>
      <c r="D624" t="str">
        <f>_xlfn.XLOOKUP(Sales__tbl[[#This Row],[customer_id]],customer_tbl[customer_id],customer_tbl[Branch_id],"Not found")</f>
        <v>E02</v>
      </c>
      <c r="E624" t="s">
        <v>988</v>
      </c>
      <c r="F624" t="s">
        <v>962</v>
      </c>
      <c r="G624" t="s">
        <v>941</v>
      </c>
      <c r="H624">
        <v>1</v>
      </c>
      <c r="I624">
        <v>259.11</v>
      </c>
      <c r="J624">
        <v>0.1</v>
      </c>
      <c r="K624" s="3">
        <v>25.911000000000001</v>
      </c>
      <c r="L624">
        <v>233.19900000000001</v>
      </c>
      <c r="M624">
        <v>59.299000000000007</v>
      </c>
      <c r="N624" t="str">
        <f>"P. "&amp;(Sales__tbl[[#This Row],[product_id]]&amp;"."&amp;TEXT(Sales__tbl[[#This Row],[selling_price]],"0.00"))</f>
        <v>P. P.id07.259.11</v>
      </c>
    </row>
    <row r="625" spans="1:14" x14ac:dyDescent="0.25">
      <c r="A625">
        <v>624</v>
      </c>
      <c r="B625" s="9" t="str">
        <f>TEXT(Sales__tbl[[#This Row],[date]],"MM")</f>
        <v>10</v>
      </c>
      <c r="C625" s="13">
        <v>45592</v>
      </c>
      <c r="D625" t="str">
        <f>_xlfn.XLOOKUP(Sales__tbl[[#This Row],[customer_id]],customer_tbl[customer_id],customer_tbl[Branch_id],"Not found")</f>
        <v>W02</v>
      </c>
      <c r="E625" t="s">
        <v>1046</v>
      </c>
      <c r="F625" t="s">
        <v>966</v>
      </c>
      <c r="G625" t="s">
        <v>851</v>
      </c>
      <c r="H625">
        <v>1</v>
      </c>
      <c r="I625">
        <v>196.75</v>
      </c>
      <c r="J625">
        <v>0.1</v>
      </c>
      <c r="K625" s="3">
        <v>19.674999999999983</v>
      </c>
      <c r="L625">
        <v>177.07500000000002</v>
      </c>
      <c r="M625">
        <v>20.925000000000011</v>
      </c>
      <c r="N625" t="str">
        <f>"P. "&amp;(Sales__tbl[[#This Row],[product_id]]&amp;"."&amp;TEXT(Sales__tbl[[#This Row],[selling_price]],"0.00"))</f>
        <v>P. P.id11.196.75</v>
      </c>
    </row>
    <row r="626" spans="1:14" x14ac:dyDescent="0.25">
      <c r="A626">
        <v>625</v>
      </c>
      <c r="B626" s="9" t="str">
        <f>TEXT(Sales__tbl[[#This Row],[date]],"MM")</f>
        <v>10</v>
      </c>
      <c r="C626" s="13">
        <v>45593</v>
      </c>
      <c r="D626" t="str">
        <f>_xlfn.XLOOKUP(Sales__tbl[[#This Row],[customer_id]],customer_tbl[customer_id],customer_tbl[Branch_id],"Not found")</f>
        <v>W02</v>
      </c>
      <c r="E626" t="s">
        <v>1167</v>
      </c>
      <c r="F626" t="s">
        <v>961</v>
      </c>
      <c r="G626" t="s">
        <v>940</v>
      </c>
      <c r="H626">
        <v>1</v>
      </c>
      <c r="I626">
        <v>66.790000000000006</v>
      </c>
      <c r="J626">
        <v>0</v>
      </c>
      <c r="K626" s="3">
        <v>0</v>
      </c>
      <c r="L626">
        <v>66.790000000000006</v>
      </c>
      <c r="M626">
        <v>22.850000000000009</v>
      </c>
      <c r="N626" t="str">
        <f>"P. "&amp;(Sales__tbl[[#This Row],[product_id]]&amp;"."&amp;TEXT(Sales__tbl[[#This Row],[selling_price]],"0.00"))</f>
        <v>P. P.id06.66.79</v>
      </c>
    </row>
    <row r="627" spans="1:14" x14ac:dyDescent="0.25">
      <c r="A627">
        <v>626</v>
      </c>
      <c r="B627" s="9" t="str">
        <f>TEXT(Sales__tbl[[#This Row],[date]],"MM")</f>
        <v>10</v>
      </c>
      <c r="C627" s="13">
        <v>45594</v>
      </c>
      <c r="D627" t="str">
        <f>_xlfn.XLOOKUP(Sales__tbl[[#This Row],[customer_id]],customer_tbl[customer_id],customer_tbl[Branch_id],"Not found")</f>
        <v>S01</v>
      </c>
      <c r="E627" t="s">
        <v>1095</v>
      </c>
      <c r="F627" t="s">
        <v>956</v>
      </c>
      <c r="G627" t="s">
        <v>831</v>
      </c>
      <c r="H627">
        <v>1</v>
      </c>
      <c r="I627">
        <v>303.48</v>
      </c>
      <c r="J627">
        <v>0.15</v>
      </c>
      <c r="K627" s="3">
        <v>45.521999999999991</v>
      </c>
      <c r="L627">
        <v>257.95800000000003</v>
      </c>
      <c r="M627">
        <v>64.658000000000015</v>
      </c>
      <c r="N627" t="str">
        <f>"P. "&amp;(Sales__tbl[[#This Row],[product_id]]&amp;"."&amp;TEXT(Sales__tbl[[#This Row],[selling_price]],"0.00"))</f>
        <v>P. P.id01.303.48</v>
      </c>
    </row>
    <row r="628" spans="1:14" x14ac:dyDescent="0.25">
      <c r="A628">
        <v>627</v>
      </c>
      <c r="B628" s="9" t="str">
        <f>TEXT(Sales__tbl[[#This Row],[date]],"MM")</f>
        <v>10</v>
      </c>
      <c r="C628" s="13">
        <v>45595</v>
      </c>
      <c r="D628" t="str">
        <f>_xlfn.XLOOKUP(Sales__tbl[[#This Row],[customer_id]],customer_tbl[customer_id],customer_tbl[Branch_id],"Not found")</f>
        <v>E02</v>
      </c>
      <c r="E628" t="s">
        <v>1105</v>
      </c>
      <c r="F628" t="s">
        <v>957</v>
      </c>
      <c r="G628" t="s">
        <v>833</v>
      </c>
      <c r="H628">
        <v>1</v>
      </c>
      <c r="I628">
        <v>55.26</v>
      </c>
      <c r="J628">
        <v>0</v>
      </c>
      <c r="K628" s="3">
        <v>0</v>
      </c>
      <c r="L628">
        <v>55.26</v>
      </c>
      <c r="M628">
        <v>19.839999999999996</v>
      </c>
      <c r="N628" t="str">
        <f>"P. "&amp;(Sales__tbl[[#This Row],[product_id]]&amp;"."&amp;TEXT(Sales__tbl[[#This Row],[selling_price]],"0.00"))</f>
        <v>P. P.id02.55.26</v>
      </c>
    </row>
    <row r="629" spans="1:14" x14ac:dyDescent="0.25">
      <c r="A629">
        <v>628</v>
      </c>
      <c r="B629" s="9" t="str">
        <f>TEXT(Sales__tbl[[#This Row],[date]],"MM")</f>
        <v>10</v>
      </c>
      <c r="C629" s="13">
        <v>45596</v>
      </c>
      <c r="D629" t="str">
        <f>_xlfn.XLOOKUP(Sales__tbl[[#This Row],[customer_id]],customer_tbl[customer_id],customer_tbl[Branch_id],"Not found")</f>
        <v>C02</v>
      </c>
      <c r="E629" t="s">
        <v>1138</v>
      </c>
      <c r="F629" t="s">
        <v>958</v>
      </c>
      <c r="G629" t="s">
        <v>939</v>
      </c>
      <c r="H629">
        <v>1</v>
      </c>
      <c r="I629">
        <v>90.53</v>
      </c>
      <c r="J629">
        <v>0</v>
      </c>
      <c r="K629" s="3">
        <v>0</v>
      </c>
      <c r="L629">
        <v>90.53</v>
      </c>
      <c r="M629">
        <v>12.489999999999995</v>
      </c>
      <c r="N629" t="str">
        <f>"P. "&amp;(Sales__tbl[[#This Row],[product_id]]&amp;"."&amp;TEXT(Sales__tbl[[#This Row],[selling_price]],"0.00"))</f>
        <v>P. P.id03.90.53</v>
      </c>
    </row>
    <row r="630" spans="1:14" x14ac:dyDescent="0.25">
      <c r="A630">
        <v>629</v>
      </c>
      <c r="B630" s="9" t="str">
        <f>TEXT(Sales__tbl[[#This Row],[date]],"MM")</f>
        <v>11</v>
      </c>
      <c r="C630" s="13">
        <v>45597</v>
      </c>
      <c r="D630" t="str">
        <f>_xlfn.XLOOKUP(Sales__tbl[[#This Row],[customer_id]],customer_tbl[customer_id],customer_tbl[Branch_id],"Not found")</f>
        <v>N01</v>
      </c>
      <c r="E630" t="s">
        <v>1191</v>
      </c>
      <c r="F630" t="s">
        <v>963</v>
      </c>
      <c r="G630" t="s">
        <v>942</v>
      </c>
      <c r="H630">
        <v>1</v>
      </c>
      <c r="I630">
        <v>274.16000000000003</v>
      </c>
      <c r="J630">
        <v>0.1</v>
      </c>
      <c r="K630" s="3">
        <v>27.415999999999997</v>
      </c>
      <c r="L630">
        <v>246.74400000000003</v>
      </c>
      <c r="M630">
        <v>56.354000000000042</v>
      </c>
      <c r="N630" t="str">
        <f>"P. "&amp;(Sales__tbl[[#This Row],[product_id]]&amp;"."&amp;TEXT(Sales__tbl[[#This Row],[selling_price]],"0.00"))</f>
        <v>P. P.id08.274.16</v>
      </c>
    </row>
    <row r="631" spans="1:14" x14ac:dyDescent="0.25">
      <c r="A631">
        <v>630</v>
      </c>
      <c r="B631" s="9" t="str">
        <f>TEXT(Sales__tbl[[#This Row],[date]],"MM")</f>
        <v>11</v>
      </c>
      <c r="C631" s="13">
        <v>45598</v>
      </c>
      <c r="D631" t="str">
        <f>_xlfn.XLOOKUP(Sales__tbl[[#This Row],[customer_id]],customer_tbl[customer_id],customer_tbl[Branch_id],"Not found")</f>
        <v>S01</v>
      </c>
      <c r="E631" t="s">
        <v>1151</v>
      </c>
      <c r="F631" t="s">
        <v>966</v>
      </c>
      <c r="G631" t="s">
        <v>851</v>
      </c>
      <c r="H631">
        <v>3</v>
      </c>
      <c r="I631">
        <v>196.75</v>
      </c>
      <c r="J631">
        <v>0.2</v>
      </c>
      <c r="K631" s="3">
        <v>118.04999999999995</v>
      </c>
      <c r="L631">
        <v>472.20000000000005</v>
      </c>
      <c r="M631">
        <v>3.75</v>
      </c>
      <c r="N631" t="str">
        <f>"P. "&amp;(Sales__tbl[[#This Row],[product_id]]&amp;"."&amp;TEXT(Sales__tbl[[#This Row],[selling_price]],"0.00"))</f>
        <v>P. P.id11.196.75</v>
      </c>
    </row>
    <row r="632" spans="1:14" x14ac:dyDescent="0.25">
      <c r="A632">
        <v>631</v>
      </c>
      <c r="B632" s="9" t="str">
        <f>TEXT(Sales__tbl[[#This Row],[date]],"MM")</f>
        <v>11</v>
      </c>
      <c r="C632" s="13">
        <v>45599</v>
      </c>
      <c r="D632" t="str">
        <f>_xlfn.XLOOKUP(Sales__tbl[[#This Row],[customer_id]],customer_tbl[customer_id],customer_tbl[Branch_id],"Not found")</f>
        <v>N01</v>
      </c>
      <c r="E632" t="s">
        <v>1061</v>
      </c>
      <c r="F632" t="s">
        <v>963</v>
      </c>
      <c r="G632" t="s">
        <v>942</v>
      </c>
      <c r="H632">
        <v>1</v>
      </c>
      <c r="I632">
        <v>274.16000000000003</v>
      </c>
      <c r="J632">
        <v>0.1</v>
      </c>
      <c r="K632" s="3">
        <v>27.415999999999997</v>
      </c>
      <c r="L632">
        <v>246.74400000000003</v>
      </c>
      <c r="M632">
        <v>56.354000000000042</v>
      </c>
      <c r="N632" t="str">
        <f>"P. "&amp;(Sales__tbl[[#This Row],[product_id]]&amp;"."&amp;TEXT(Sales__tbl[[#This Row],[selling_price]],"0.00"))</f>
        <v>P. P.id08.274.16</v>
      </c>
    </row>
    <row r="633" spans="1:14" x14ac:dyDescent="0.25">
      <c r="A633">
        <v>632</v>
      </c>
      <c r="B633" s="9" t="str">
        <f>TEXT(Sales__tbl[[#This Row],[date]],"MM")</f>
        <v>11</v>
      </c>
      <c r="C633" s="13">
        <v>45600</v>
      </c>
      <c r="D633" t="str">
        <f>_xlfn.XLOOKUP(Sales__tbl[[#This Row],[customer_id]],customer_tbl[customer_id],customer_tbl[Branch_id],"Not found")</f>
        <v>S02</v>
      </c>
      <c r="E633" t="s">
        <v>994</v>
      </c>
      <c r="F633" t="s">
        <v>956</v>
      </c>
      <c r="G633" t="s">
        <v>831</v>
      </c>
      <c r="H633">
        <v>1</v>
      </c>
      <c r="I633">
        <v>303.48</v>
      </c>
      <c r="J633">
        <v>0.15</v>
      </c>
      <c r="K633" s="3">
        <v>45.521999999999991</v>
      </c>
      <c r="L633">
        <v>257.95800000000003</v>
      </c>
      <c r="M633">
        <v>64.658000000000015</v>
      </c>
      <c r="N633" t="str">
        <f>"P. "&amp;(Sales__tbl[[#This Row],[product_id]]&amp;"."&amp;TEXT(Sales__tbl[[#This Row],[selling_price]],"0.00"))</f>
        <v>P. P.id01.303.48</v>
      </c>
    </row>
    <row r="634" spans="1:14" x14ac:dyDescent="0.25">
      <c r="A634">
        <v>633</v>
      </c>
      <c r="B634" s="9" t="str">
        <f>TEXT(Sales__tbl[[#This Row],[date]],"MM")</f>
        <v>11</v>
      </c>
      <c r="C634" s="13">
        <v>45601</v>
      </c>
      <c r="D634" t="str">
        <f>_xlfn.XLOOKUP(Sales__tbl[[#This Row],[customer_id]],customer_tbl[customer_id],customer_tbl[Branch_id],"Not found")</f>
        <v>W01</v>
      </c>
      <c r="E634" t="s">
        <v>1051</v>
      </c>
      <c r="F634" t="s">
        <v>965</v>
      </c>
      <c r="G634" t="s">
        <v>847</v>
      </c>
      <c r="H634">
        <v>1</v>
      </c>
      <c r="I634">
        <v>168</v>
      </c>
      <c r="J634">
        <v>0.1</v>
      </c>
      <c r="K634" s="3">
        <v>16.799999999999983</v>
      </c>
      <c r="L634">
        <v>151.20000000000002</v>
      </c>
      <c r="M634">
        <v>29.460000000000022</v>
      </c>
      <c r="N634" t="str">
        <f>"P. "&amp;(Sales__tbl[[#This Row],[product_id]]&amp;"."&amp;TEXT(Sales__tbl[[#This Row],[selling_price]],"0.00"))</f>
        <v>P. P.id10.168.00</v>
      </c>
    </row>
    <row r="635" spans="1:14" x14ac:dyDescent="0.25">
      <c r="A635">
        <v>634</v>
      </c>
      <c r="B635" s="9" t="str">
        <f>TEXT(Sales__tbl[[#This Row],[date]],"MM")</f>
        <v>11</v>
      </c>
      <c r="C635" s="13">
        <v>45602</v>
      </c>
      <c r="D635" t="str">
        <f>_xlfn.XLOOKUP(Sales__tbl[[#This Row],[customer_id]],customer_tbl[customer_id],customer_tbl[Branch_id],"Not found")</f>
        <v>C01</v>
      </c>
      <c r="E635" t="s">
        <v>1077</v>
      </c>
      <c r="F635" t="s">
        <v>963</v>
      </c>
      <c r="G635" t="s">
        <v>942</v>
      </c>
      <c r="H635">
        <v>1</v>
      </c>
      <c r="I635">
        <v>274.16000000000003</v>
      </c>
      <c r="J635">
        <v>0.1</v>
      </c>
      <c r="K635" s="3">
        <v>27.415999999999997</v>
      </c>
      <c r="L635">
        <v>246.74400000000003</v>
      </c>
      <c r="M635">
        <v>56.354000000000042</v>
      </c>
      <c r="N635" t="str">
        <f>"P. "&amp;(Sales__tbl[[#This Row],[product_id]]&amp;"."&amp;TEXT(Sales__tbl[[#This Row],[selling_price]],"0.00"))</f>
        <v>P. P.id08.274.16</v>
      </c>
    </row>
    <row r="636" spans="1:14" x14ac:dyDescent="0.25">
      <c r="A636">
        <v>635</v>
      </c>
      <c r="B636" s="9" t="str">
        <f>TEXT(Sales__tbl[[#This Row],[date]],"MM")</f>
        <v>11</v>
      </c>
      <c r="C636" s="13">
        <v>45603</v>
      </c>
      <c r="D636" t="str">
        <f>_xlfn.XLOOKUP(Sales__tbl[[#This Row],[customer_id]],customer_tbl[customer_id],customer_tbl[Branch_id],"Not found")</f>
        <v>E01</v>
      </c>
      <c r="E636" t="s">
        <v>986</v>
      </c>
      <c r="F636" t="s">
        <v>964</v>
      </c>
      <c r="G636" t="s">
        <v>943</v>
      </c>
      <c r="H636">
        <v>1</v>
      </c>
      <c r="I636">
        <v>190.58</v>
      </c>
      <c r="J636">
        <v>0.1</v>
      </c>
      <c r="K636" s="3">
        <v>19.057999999999993</v>
      </c>
      <c r="L636">
        <v>171.52200000000002</v>
      </c>
      <c r="M636">
        <v>23.782000000000011</v>
      </c>
      <c r="N636" t="str">
        <f>"P. "&amp;(Sales__tbl[[#This Row],[product_id]]&amp;"."&amp;TEXT(Sales__tbl[[#This Row],[selling_price]],"0.00"))</f>
        <v>P. P.id09.190.58</v>
      </c>
    </row>
    <row r="637" spans="1:14" x14ac:dyDescent="0.25">
      <c r="A637">
        <v>636</v>
      </c>
      <c r="B637" s="9" t="str">
        <f>TEXT(Sales__tbl[[#This Row],[date]],"MM")</f>
        <v>11</v>
      </c>
      <c r="C637" s="13">
        <v>45604</v>
      </c>
      <c r="D637" t="str">
        <f>_xlfn.XLOOKUP(Sales__tbl[[#This Row],[customer_id]],customer_tbl[customer_id],customer_tbl[Branch_id],"Not found")</f>
        <v>N02</v>
      </c>
      <c r="E637" t="s">
        <v>1005</v>
      </c>
      <c r="F637" t="s">
        <v>965</v>
      </c>
      <c r="G637" t="s">
        <v>847</v>
      </c>
      <c r="H637">
        <v>1</v>
      </c>
      <c r="I637">
        <v>168</v>
      </c>
      <c r="J637">
        <v>0.1</v>
      </c>
      <c r="K637" s="3">
        <v>16.799999999999983</v>
      </c>
      <c r="L637">
        <v>151.20000000000002</v>
      </c>
      <c r="M637">
        <v>29.460000000000022</v>
      </c>
      <c r="N637" t="str">
        <f>"P. "&amp;(Sales__tbl[[#This Row],[product_id]]&amp;"."&amp;TEXT(Sales__tbl[[#This Row],[selling_price]],"0.00"))</f>
        <v>P. P.id10.168.00</v>
      </c>
    </row>
    <row r="638" spans="1:14" x14ac:dyDescent="0.25">
      <c r="A638">
        <v>637</v>
      </c>
      <c r="B638" s="9" t="str">
        <f>TEXT(Sales__tbl[[#This Row],[date]],"MM")</f>
        <v>11</v>
      </c>
      <c r="C638" s="13">
        <v>45605</v>
      </c>
      <c r="D638" t="str">
        <f>_xlfn.XLOOKUP(Sales__tbl[[#This Row],[customer_id]],customer_tbl[customer_id],customer_tbl[Branch_id],"Not found")</f>
        <v>S02</v>
      </c>
      <c r="E638" t="s">
        <v>984</v>
      </c>
      <c r="F638" t="s">
        <v>956</v>
      </c>
      <c r="G638" t="s">
        <v>831</v>
      </c>
      <c r="H638">
        <v>2</v>
      </c>
      <c r="I638">
        <v>303.48</v>
      </c>
      <c r="J638">
        <v>0.2</v>
      </c>
      <c r="K638" s="3">
        <v>121.392</v>
      </c>
      <c r="L638">
        <v>485.56800000000004</v>
      </c>
      <c r="M638">
        <v>98.968000000000018</v>
      </c>
      <c r="N638" t="str">
        <f>"P. "&amp;(Sales__tbl[[#This Row],[product_id]]&amp;"."&amp;TEXT(Sales__tbl[[#This Row],[selling_price]],"0.00"))</f>
        <v>P. P.id01.303.48</v>
      </c>
    </row>
    <row r="639" spans="1:14" x14ac:dyDescent="0.25">
      <c r="A639">
        <v>638</v>
      </c>
      <c r="B639" s="9" t="str">
        <f>TEXT(Sales__tbl[[#This Row],[date]],"MM")</f>
        <v>11</v>
      </c>
      <c r="C639" s="13">
        <v>45606</v>
      </c>
      <c r="D639" t="str">
        <f>_xlfn.XLOOKUP(Sales__tbl[[#This Row],[customer_id]],customer_tbl[customer_id],customer_tbl[Branch_id],"Not found")</f>
        <v>S02</v>
      </c>
      <c r="E639" t="s">
        <v>1026</v>
      </c>
      <c r="F639" t="s">
        <v>964</v>
      </c>
      <c r="G639" t="s">
        <v>943</v>
      </c>
      <c r="H639">
        <v>2</v>
      </c>
      <c r="I639">
        <v>190.58</v>
      </c>
      <c r="J639">
        <v>0.15</v>
      </c>
      <c r="K639" s="3">
        <v>57.174000000000035</v>
      </c>
      <c r="L639">
        <v>323.98599999999999</v>
      </c>
      <c r="M639">
        <v>28.505999999999972</v>
      </c>
      <c r="N639" t="str">
        <f>"P. "&amp;(Sales__tbl[[#This Row],[product_id]]&amp;"."&amp;TEXT(Sales__tbl[[#This Row],[selling_price]],"0.00"))</f>
        <v>P. P.id09.190.58</v>
      </c>
    </row>
    <row r="640" spans="1:14" x14ac:dyDescent="0.25">
      <c r="A640">
        <v>639</v>
      </c>
      <c r="B640" s="9" t="str">
        <f>TEXT(Sales__tbl[[#This Row],[date]],"MM")</f>
        <v>11</v>
      </c>
      <c r="C640" s="13">
        <v>45607</v>
      </c>
      <c r="D640" t="str">
        <f>_xlfn.XLOOKUP(Sales__tbl[[#This Row],[customer_id]],customer_tbl[customer_id],customer_tbl[Branch_id],"Not found")</f>
        <v>W02</v>
      </c>
      <c r="E640" t="s">
        <v>1079</v>
      </c>
      <c r="F640" t="s">
        <v>962</v>
      </c>
      <c r="G640" t="s">
        <v>941</v>
      </c>
      <c r="H640">
        <v>1</v>
      </c>
      <c r="I640">
        <v>259.11</v>
      </c>
      <c r="J640">
        <v>0.1</v>
      </c>
      <c r="K640" s="3">
        <v>25.911000000000001</v>
      </c>
      <c r="L640">
        <v>233.19900000000001</v>
      </c>
      <c r="M640">
        <v>59.299000000000007</v>
      </c>
      <c r="N640" t="str">
        <f>"P. "&amp;(Sales__tbl[[#This Row],[product_id]]&amp;"."&amp;TEXT(Sales__tbl[[#This Row],[selling_price]],"0.00"))</f>
        <v>P. P.id07.259.11</v>
      </c>
    </row>
    <row r="641" spans="1:14" x14ac:dyDescent="0.25">
      <c r="A641">
        <v>640</v>
      </c>
      <c r="B641" s="9" t="str">
        <f>TEXT(Sales__tbl[[#This Row],[date]],"MM")</f>
        <v>11</v>
      </c>
      <c r="C641" s="13">
        <v>45608</v>
      </c>
      <c r="D641" t="str">
        <f>_xlfn.XLOOKUP(Sales__tbl[[#This Row],[customer_id]],customer_tbl[customer_id],customer_tbl[Branch_id],"Not found")</f>
        <v>S01</v>
      </c>
      <c r="E641" t="s">
        <v>1004</v>
      </c>
      <c r="F641" t="s">
        <v>960</v>
      </c>
      <c r="G641" t="s">
        <v>839</v>
      </c>
      <c r="H641">
        <v>1</v>
      </c>
      <c r="I641">
        <v>165.45</v>
      </c>
      <c r="J641">
        <v>0.1</v>
      </c>
      <c r="K641" s="3">
        <v>16.544999999999987</v>
      </c>
      <c r="L641">
        <v>148.905</v>
      </c>
      <c r="M641">
        <v>25.435000000000002</v>
      </c>
      <c r="N641" t="str">
        <f>"P. "&amp;(Sales__tbl[[#This Row],[product_id]]&amp;"."&amp;TEXT(Sales__tbl[[#This Row],[selling_price]],"0.00"))</f>
        <v>P. P.id05.165.45</v>
      </c>
    </row>
    <row r="642" spans="1:14" x14ac:dyDescent="0.25">
      <c r="A642">
        <v>641</v>
      </c>
      <c r="B642" s="9" t="str">
        <f>TEXT(Sales__tbl[[#This Row],[date]],"MM")</f>
        <v>11</v>
      </c>
      <c r="C642" s="13">
        <v>45609</v>
      </c>
      <c r="D642" t="str">
        <f>_xlfn.XLOOKUP(Sales__tbl[[#This Row],[customer_id]],customer_tbl[customer_id],customer_tbl[Branch_id],"Not found")</f>
        <v>N01</v>
      </c>
      <c r="E642" t="s">
        <v>1066</v>
      </c>
      <c r="F642" t="s">
        <v>956</v>
      </c>
      <c r="G642" t="s">
        <v>831</v>
      </c>
      <c r="H642">
        <v>1</v>
      </c>
      <c r="I642">
        <v>303.48</v>
      </c>
      <c r="J642">
        <v>0.15</v>
      </c>
      <c r="K642" s="3">
        <v>45.521999999999991</v>
      </c>
      <c r="L642">
        <v>257.95800000000003</v>
      </c>
      <c r="M642">
        <v>64.658000000000015</v>
      </c>
      <c r="N642" t="str">
        <f>"P. "&amp;(Sales__tbl[[#This Row],[product_id]]&amp;"."&amp;TEXT(Sales__tbl[[#This Row],[selling_price]],"0.00"))</f>
        <v>P. P.id01.303.48</v>
      </c>
    </row>
    <row r="643" spans="1:14" x14ac:dyDescent="0.25">
      <c r="A643">
        <v>642</v>
      </c>
      <c r="B643" s="9" t="str">
        <f>TEXT(Sales__tbl[[#This Row],[date]],"MM")</f>
        <v>11</v>
      </c>
      <c r="C643" s="13">
        <v>45610</v>
      </c>
      <c r="D643" t="str">
        <f>_xlfn.XLOOKUP(Sales__tbl[[#This Row],[customer_id]],customer_tbl[customer_id],customer_tbl[Branch_id],"Not found")</f>
        <v>E02</v>
      </c>
      <c r="E643" t="s">
        <v>1109</v>
      </c>
      <c r="F643" t="s">
        <v>959</v>
      </c>
      <c r="G643" t="s">
        <v>837</v>
      </c>
      <c r="H643">
        <v>1</v>
      </c>
      <c r="I643">
        <v>11.53</v>
      </c>
      <c r="J643">
        <v>0</v>
      </c>
      <c r="K643" s="3">
        <v>0</v>
      </c>
      <c r="L643">
        <v>11.53</v>
      </c>
      <c r="M643">
        <v>2.5199999999999996</v>
      </c>
      <c r="N643" t="str">
        <f>"P. "&amp;(Sales__tbl[[#This Row],[product_id]]&amp;"."&amp;TEXT(Sales__tbl[[#This Row],[selling_price]],"0.00"))</f>
        <v>P. P.id04.11.53</v>
      </c>
    </row>
    <row r="644" spans="1:14" x14ac:dyDescent="0.25">
      <c r="A644">
        <v>643</v>
      </c>
      <c r="B644" s="9" t="str">
        <f>TEXT(Sales__tbl[[#This Row],[date]],"MM")</f>
        <v>11</v>
      </c>
      <c r="C644" s="13">
        <v>45611</v>
      </c>
      <c r="D644" t="str">
        <f>_xlfn.XLOOKUP(Sales__tbl[[#This Row],[customer_id]],customer_tbl[customer_id],customer_tbl[Branch_id],"Not found")</f>
        <v>S01</v>
      </c>
      <c r="E644" t="s">
        <v>1029</v>
      </c>
      <c r="F644" t="s">
        <v>965</v>
      </c>
      <c r="G644" t="s">
        <v>847</v>
      </c>
      <c r="H644">
        <v>1</v>
      </c>
      <c r="I644">
        <v>168</v>
      </c>
      <c r="J644">
        <v>0.1</v>
      </c>
      <c r="K644" s="3">
        <v>16.799999999999983</v>
      </c>
      <c r="L644">
        <v>151.20000000000002</v>
      </c>
      <c r="M644">
        <v>29.460000000000022</v>
      </c>
      <c r="N644" t="str">
        <f>"P. "&amp;(Sales__tbl[[#This Row],[product_id]]&amp;"."&amp;TEXT(Sales__tbl[[#This Row],[selling_price]],"0.00"))</f>
        <v>P. P.id10.168.00</v>
      </c>
    </row>
    <row r="645" spans="1:14" x14ac:dyDescent="0.25">
      <c r="A645">
        <v>644</v>
      </c>
      <c r="B645" s="9" t="str">
        <f>TEXT(Sales__tbl[[#This Row],[date]],"MM")</f>
        <v>11</v>
      </c>
      <c r="C645" s="13">
        <v>45612</v>
      </c>
      <c r="D645" t="str">
        <f>_xlfn.XLOOKUP(Sales__tbl[[#This Row],[customer_id]],customer_tbl[customer_id],customer_tbl[Branch_id],"Not found")</f>
        <v>N02</v>
      </c>
      <c r="E645" t="s">
        <v>1018</v>
      </c>
      <c r="F645" t="s">
        <v>962</v>
      </c>
      <c r="G645" t="s">
        <v>941</v>
      </c>
      <c r="H645">
        <v>2</v>
      </c>
      <c r="I645">
        <v>259.11</v>
      </c>
      <c r="J645">
        <v>0.2</v>
      </c>
      <c r="K645" s="3">
        <v>103.64400000000001</v>
      </c>
      <c r="L645">
        <v>414.57600000000002</v>
      </c>
      <c r="M645">
        <v>66.77600000000001</v>
      </c>
      <c r="N645" t="str">
        <f>"P. "&amp;(Sales__tbl[[#This Row],[product_id]]&amp;"."&amp;TEXT(Sales__tbl[[#This Row],[selling_price]],"0.00"))</f>
        <v>P. P.id07.259.11</v>
      </c>
    </row>
    <row r="646" spans="1:14" x14ac:dyDescent="0.25">
      <c r="A646">
        <v>645</v>
      </c>
      <c r="B646" s="9" t="str">
        <f>TEXT(Sales__tbl[[#This Row],[date]],"MM")</f>
        <v>11</v>
      </c>
      <c r="C646" s="13">
        <v>45613</v>
      </c>
      <c r="D646" t="str">
        <f>_xlfn.XLOOKUP(Sales__tbl[[#This Row],[customer_id]],customer_tbl[customer_id],customer_tbl[Branch_id],"Not found")</f>
        <v>E01</v>
      </c>
      <c r="E646" t="s">
        <v>1047</v>
      </c>
      <c r="F646" t="s">
        <v>959</v>
      </c>
      <c r="G646" t="s">
        <v>837</v>
      </c>
      <c r="H646">
        <v>1</v>
      </c>
      <c r="I646">
        <v>11.53</v>
      </c>
      <c r="J646">
        <v>0</v>
      </c>
      <c r="K646" s="3">
        <v>0</v>
      </c>
      <c r="L646">
        <v>11.53</v>
      </c>
      <c r="M646">
        <v>2.5199999999999996</v>
      </c>
      <c r="N646" t="str">
        <f>"P. "&amp;(Sales__tbl[[#This Row],[product_id]]&amp;"."&amp;TEXT(Sales__tbl[[#This Row],[selling_price]],"0.00"))</f>
        <v>P. P.id04.11.53</v>
      </c>
    </row>
    <row r="647" spans="1:14" x14ac:dyDescent="0.25">
      <c r="A647">
        <v>646</v>
      </c>
      <c r="B647" s="9" t="str">
        <f>TEXT(Sales__tbl[[#This Row],[date]],"MM")</f>
        <v>11</v>
      </c>
      <c r="C647" s="13">
        <v>45614</v>
      </c>
      <c r="D647" t="str">
        <f>_xlfn.XLOOKUP(Sales__tbl[[#This Row],[customer_id]],customer_tbl[customer_id],customer_tbl[Branch_id],"Not found")</f>
        <v>W01</v>
      </c>
      <c r="E647" t="s">
        <v>1049</v>
      </c>
      <c r="F647" t="s">
        <v>967</v>
      </c>
      <c r="G647" t="s">
        <v>872</v>
      </c>
      <c r="H647">
        <v>1</v>
      </c>
      <c r="I647">
        <v>91.73</v>
      </c>
      <c r="J647">
        <v>0</v>
      </c>
      <c r="K647" s="3">
        <v>0</v>
      </c>
      <c r="L647">
        <v>91.73</v>
      </c>
      <c r="M647">
        <v>15.290000000000006</v>
      </c>
      <c r="N647" t="str">
        <f>"P. "&amp;(Sales__tbl[[#This Row],[product_id]]&amp;"."&amp;TEXT(Sales__tbl[[#This Row],[selling_price]],"0.00"))</f>
        <v>P. P.id12.91.73</v>
      </c>
    </row>
    <row r="648" spans="1:14" x14ac:dyDescent="0.25">
      <c r="A648">
        <v>647</v>
      </c>
      <c r="B648" s="9" t="str">
        <f>TEXT(Sales__tbl[[#This Row],[date]],"MM")</f>
        <v>11</v>
      </c>
      <c r="C648" s="13">
        <v>45615</v>
      </c>
      <c r="D648" t="str">
        <f>_xlfn.XLOOKUP(Sales__tbl[[#This Row],[customer_id]],customer_tbl[customer_id],customer_tbl[Branch_id],"Not found")</f>
        <v>N02</v>
      </c>
      <c r="E648" t="s">
        <v>1067</v>
      </c>
      <c r="F648" t="s">
        <v>962</v>
      </c>
      <c r="G648" t="s">
        <v>941</v>
      </c>
      <c r="H648">
        <v>1</v>
      </c>
      <c r="I648">
        <v>259.11</v>
      </c>
      <c r="J648">
        <v>0.1</v>
      </c>
      <c r="K648" s="3">
        <v>25.911000000000001</v>
      </c>
      <c r="L648">
        <v>233.19900000000001</v>
      </c>
      <c r="M648">
        <v>59.299000000000007</v>
      </c>
      <c r="N648" t="str">
        <f>"P. "&amp;(Sales__tbl[[#This Row],[product_id]]&amp;"."&amp;TEXT(Sales__tbl[[#This Row],[selling_price]],"0.00"))</f>
        <v>P. P.id07.259.11</v>
      </c>
    </row>
    <row r="649" spans="1:14" x14ac:dyDescent="0.25">
      <c r="A649">
        <v>648</v>
      </c>
      <c r="B649" s="9" t="str">
        <f>TEXT(Sales__tbl[[#This Row],[date]],"MM")</f>
        <v>11</v>
      </c>
      <c r="C649" s="13">
        <v>45616</v>
      </c>
      <c r="D649" t="str">
        <f>_xlfn.XLOOKUP(Sales__tbl[[#This Row],[customer_id]],customer_tbl[customer_id],customer_tbl[Branch_id],"Not found")</f>
        <v>E02</v>
      </c>
      <c r="E649" t="s">
        <v>1002</v>
      </c>
      <c r="F649" t="s">
        <v>959</v>
      </c>
      <c r="G649" t="s">
        <v>837</v>
      </c>
      <c r="H649">
        <v>4</v>
      </c>
      <c r="I649">
        <v>11.53</v>
      </c>
      <c r="J649">
        <v>0</v>
      </c>
      <c r="K649" s="3">
        <v>0</v>
      </c>
      <c r="L649">
        <v>46.12</v>
      </c>
      <c r="M649">
        <v>10.079999999999998</v>
      </c>
      <c r="N649" t="str">
        <f>"P. "&amp;(Sales__tbl[[#This Row],[product_id]]&amp;"."&amp;TEXT(Sales__tbl[[#This Row],[selling_price]],"0.00"))</f>
        <v>P. P.id04.11.53</v>
      </c>
    </row>
    <row r="650" spans="1:14" x14ac:dyDescent="0.25">
      <c r="A650">
        <v>649</v>
      </c>
      <c r="B650" s="9" t="str">
        <f>TEXT(Sales__tbl[[#This Row],[date]],"MM")</f>
        <v>11</v>
      </c>
      <c r="C650" s="13">
        <v>45617</v>
      </c>
      <c r="D650" t="str">
        <f>_xlfn.XLOOKUP(Sales__tbl[[#This Row],[customer_id]],customer_tbl[customer_id],customer_tbl[Branch_id],"Not found")</f>
        <v>N01</v>
      </c>
      <c r="E650" t="s">
        <v>1146</v>
      </c>
      <c r="F650" t="s">
        <v>959</v>
      </c>
      <c r="G650" t="s">
        <v>837</v>
      </c>
      <c r="H650">
        <v>2</v>
      </c>
      <c r="I650">
        <v>11.53</v>
      </c>
      <c r="J650">
        <v>0</v>
      </c>
      <c r="K650" s="3">
        <v>0</v>
      </c>
      <c r="L650">
        <v>23.06</v>
      </c>
      <c r="M650">
        <v>5.0399999999999991</v>
      </c>
      <c r="N650" t="str">
        <f>"P. "&amp;(Sales__tbl[[#This Row],[product_id]]&amp;"."&amp;TEXT(Sales__tbl[[#This Row],[selling_price]],"0.00"))</f>
        <v>P. P.id04.11.53</v>
      </c>
    </row>
    <row r="651" spans="1:14" x14ac:dyDescent="0.25">
      <c r="A651">
        <v>650</v>
      </c>
      <c r="B651" s="9" t="str">
        <f>TEXT(Sales__tbl[[#This Row],[date]],"MM")</f>
        <v>11</v>
      </c>
      <c r="C651" s="13">
        <v>45618</v>
      </c>
      <c r="D651" t="str">
        <f>_xlfn.XLOOKUP(Sales__tbl[[#This Row],[customer_id]],customer_tbl[customer_id],customer_tbl[Branch_id],"Not found")</f>
        <v>S01</v>
      </c>
      <c r="E651" t="s">
        <v>1042</v>
      </c>
      <c r="F651" t="s">
        <v>965</v>
      </c>
      <c r="G651" t="s">
        <v>847</v>
      </c>
      <c r="H651">
        <v>1</v>
      </c>
      <c r="I651">
        <v>168</v>
      </c>
      <c r="J651">
        <v>0.1</v>
      </c>
      <c r="K651" s="3">
        <v>16.799999999999983</v>
      </c>
      <c r="L651">
        <v>151.20000000000002</v>
      </c>
      <c r="M651">
        <v>29.460000000000022</v>
      </c>
      <c r="N651" t="str">
        <f>"P. "&amp;(Sales__tbl[[#This Row],[product_id]]&amp;"."&amp;TEXT(Sales__tbl[[#This Row],[selling_price]],"0.00"))</f>
        <v>P. P.id10.168.00</v>
      </c>
    </row>
    <row r="652" spans="1:14" x14ac:dyDescent="0.25">
      <c r="A652">
        <v>651</v>
      </c>
      <c r="B652" s="9" t="str">
        <f>TEXT(Sales__tbl[[#This Row],[date]],"MM")</f>
        <v>11</v>
      </c>
      <c r="C652" s="13">
        <v>45619</v>
      </c>
      <c r="D652" t="str">
        <f>_xlfn.XLOOKUP(Sales__tbl[[#This Row],[customer_id]],customer_tbl[customer_id],customer_tbl[Branch_id],"Not found")</f>
        <v>S01</v>
      </c>
      <c r="E652" t="s">
        <v>1023</v>
      </c>
      <c r="F652" t="s">
        <v>962</v>
      </c>
      <c r="G652" t="s">
        <v>941</v>
      </c>
      <c r="H652">
        <v>1</v>
      </c>
      <c r="I652">
        <v>259.11</v>
      </c>
      <c r="J652">
        <v>0.1</v>
      </c>
      <c r="K652" s="3">
        <v>25.911000000000001</v>
      </c>
      <c r="L652">
        <v>233.19900000000001</v>
      </c>
      <c r="M652">
        <v>59.299000000000007</v>
      </c>
      <c r="N652" t="str">
        <f>"P. "&amp;(Sales__tbl[[#This Row],[product_id]]&amp;"."&amp;TEXT(Sales__tbl[[#This Row],[selling_price]],"0.00"))</f>
        <v>P. P.id07.259.11</v>
      </c>
    </row>
    <row r="653" spans="1:14" x14ac:dyDescent="0.25">
      <c r="A653">
        <v>652</v>
      </c>
      <c r="B653" s="9" t="str">
        <f>TEXT(Sales__tbl[[#This Row],[date]],"MM")</f>
        <v>11</v>
      </c>
      <c r="C653" s="13">
        <v>45620</v>
      </c>
      <c r="D653" t="str">
        <f>_xlfn.XLOOKUP(Sales__tbl[[#This Row],[customer_id]],customer_tbl[customer_id],customer_tbl[Branch_id],"Not found")</f>
        <v>C01</v>
      </c>
      <c r="E653" t="s">
        <v>1077</v>
      </c>
      <c r="F653" t="s">
        <v>964</v>
      </c>
      <c r="G653" t="s">
        <v>943</v>
      </c>
      <c r="H653">
        <v>2</v>
      </c>
      <c r="I653">
        <v>190.58</v>
      </c>
      <c r="J653">
        <v>0.15</v>
      </c>
      <c r="K653" s="3">
        <v>57.174000000000035</v>
      </c>
      <c r="L653">
        <v>323.98599999999999</v>
      </c>
      <c r="M653">
        <v>28.505999999999972</v>
      </c>
      <c r="N653" t="str">
        <f>"P. "&amp;(Sales__tbl[[#This Row],[product_id]]&amp;"."&amp;TEXT(Sales__tbl[[#This Row],[selling_price]],"0.00"))</f>
        <v>P. P.id09.190.58</v>
      </c>
    </row>
    <row r="654" spans="1:14" x14ac:dyDescent="0.25">
      <c r="A654">
        <v>653</v>
      </c>
      <c r="B654" s="9" t="str">
        <f>TEXT(Sales__tbl[[#This Row],[date]],"MM")</f>
        <v>11</v>
      </c>
      <c r="C654" s="13">
        <v>45621</v>
      </c>
      <c r="D654" t="str">
        <f>_xlfn.XLOOKUP(Sales__tbl[[#This Row],[customer_id]],customer_tbl[customer_id],customer_tbl[Branch_id],"Not found")</f>
        <v>S02</v>
      </c>
      <c r="E654" t="s">
        <v>1090</v>
      </c>
      <c r="F654" t="s">
        <v>966</v>
      </c>
      <c r="G654" t="s">
        <v>851</v>
      </c>
      <c r="H654">
        <v>3</v>
      </c>
      <c r="I654">
        <v>196.75</v>
      </c>
      <c r="J654">
        <v>0.2</v>
      </c>
      <c r="K654" s="3">
        <v>118.04999999999995</v>
      </c>
      <c r="L654">
        <v>472.20000000000005</v>
      </c>
      <c r="M654">
        <v>3.75</v>
      </c>
      <c r="N654" t="str">
        <f>"P. "&amp;(Sales__tbl[[#This Row],[product_id]]&amp;"."&amp;TEXT(Sales__tbl[[#This Row],[selling_price]],"0.00"))</f>
        <v>P. P.id11.196.75</v>
      </c>
    </row>
    <row r="655" spans="1:14" x14ac:dyDescent="0.25">
      <c r="A655">
        <v>654</v>
      </c>
      <c r="B655" s="9" t="str">
        <f>TEXT(Sales__tbl[[#This Row],[date]],"MM")</f>
        <v>11</v>
      </c>
      <c r="C655" s="13">
        <v>45622</v>
      </c>
      <c r="D655" t="str">
        <f>_xlfn.XLOOKUP(Sales__tbl[[#This Row],[customer_id]],customer_tbl[customer_id],customer_tbl[Branch_id],"Not found")</f>
        <v>W02</v>
      </c>
      <c r="E655" t="s">
        <v>1167</v>
      </c>
      <c r="F655" t="s">
        <v>965</v>
      </c>
      <c r="G655" t="s">
        <v>847</v>
      </c>
      <c r="H655">
        <v>1</v>
      </c>
      <c r="I655">
        <v>168</v>
      </c>
      <c r="J655">
        <v>0.1</v>
      </c>
      <c r="K655" s="3">
        <v>16.799999999999983</v>
      </c>
      <c r="L655">
        <v>151.20000000000002</v>
      </c>
      <c r="M655">
        <v>29.460000000000022</v>
      </c>
      <c r="N655" t="str">
        <f>"P. "&amp;(Sales__tbl[[#This Row],[product_id]]&amp;"."&amp;TEXT(Sales__tbl[[#This Row],[selling_price]],"0.00"))</f>
        <v>P. P.id10.168.00</v>
      </c>
    </row>
    <row r="656" spans="1:14" x14ac:dyDescent="0.25">
      <c r="A656">
        <v>655</v>
      </c>
      <c r="B656" s="9" t="str">
        <f>TEXT(Sales__tbl[[#This Row],[date]],"MM")</f>
        <v>11</v>
      </c>
      <c r="C656" s="13">
        <v>45623</v>
      </c>
      <c r="D656" t="str">
        <f>_xlfn.XLOOKUP(Sales__tbl[[#This Row],[customer_id]],customer_tbl[customer_id],customer_tbl[Branch_id],"Not found")</f>
        <v>C02</v>
      </c>
      <c r="E656" t="s">
        <v>1174</v>
      </c>
      <c r="F656" t="s">
        <v>957</v>
      </c>
      <c r="G656" t="s">
        <v>833</v>
      </c>
      <c r="H656">
        <v>1</v>
      </c>
      <c r="I656">
        <v>55.26</v>
      </c>
      <c r="J656">
        <v>0</v>
      </c>
      <c r="K656" s="3">
        <v>0</v>
      </c>
      <c r="L656">
        <v>55.26</v>
      </c>
      <c r="M656">
        <v>19.839999999999996</v>
      </c>
      <c r="N656" t="str">
        <f>"P. "&amp;(Sales__tbl[[#This Row],[product_id]]&amp;"."&amp;TEXT(Sales__tbl[[#This Row],[selling_price]],"0.00"))</f>
        <v>P. P.id02.55.26</v>
      </c>
    </row>
    <row r="657" spans="1:14" x14ac:dyDescent="0.25">
      <c r="A657">
        <v>656</v>
      </c>
      <c r="B657" s="9" t="str">
        <f>TEXT(Sales__tbl[[#This Row],[date]],"MM")</f>
        <v>11</v>
      </c>
      <c r="C657" s="13">
        <v>45624</v>
      </c>
      <c r="D657" t="str">
        <f>_xlfn.XLOOKUP(Sales__tbl[[#This Row],[customer_id]],customer_tbl[customer_id],customer_tbl[Branch_id],"Not found")</f>
        <v>S02</v>
      </c>
      <c r="E657" t="s">
        <v>1090</v>
      </c>
      <c r="F657" t="s">
        <v>961</v>
      </c>
      <c r="G657" t="s">
        <v>940</v>
      </c>
      <c r="H657">
        <v>1</v>
      </c>
      <c r="I657">
        <v>66.790000000000006</v>
      </c>
      <c r="J657">
        <v>0</v>
      </c>
      <c r="K657" s="3">
        <v>0</v>
      </c>
      <c r="L657">
        <v>66.790000000000006</v>
      </c>
      <c r="M657">
        <v>22.850000000000009</v>
      </c>
      <c r="N657" t="str">
        <f>"P. "&amp;(Sales__tbl[[#This Row],[product_id]]&amp;"."&amp;TEXT(Sales__tbl[[#This Row],[selling_price]],"0.00"))</f>
        <v>P. P.id06.66.79</v>
      </c>
    </row>
    <row r="658" spans="1:14" x14ac:dyDescent="0.25">
      <c r="A658">
        <v>657</v>
      </c>
      <c r="B658" s="9" t="str">
        <f>TEXT(Sales__tbl[[#This Row],[date]],"MM")</f>
        <v>11</v>
      </c>
      <c r="C658" s="13">
        <v>45625</v>
      </c>
      <c r="D658" t="str">
        <f>_xlfn.XLOOKUP(Sales__tbl[[#This Row],[customer_id]],customer_tbl[customer_id],customer_tbl[Branch_id],"Not found")</f>
        <v>S01</v>
      </c>
      <c r="E658" t="s">
        <v>1163</v>
      </c>
      <c r="F658" t="s">
        <v>966</v>
      </c>
      <c r="G658" t="s">
        <v>851</v>
      </c>
      <c r="H658">
        <v>2</v>
      </c>
      <c r="I658">
        <v>196.75</v>
      </c>
      <c r="J658">
        <v>0.15</v>
      </c>
      <c r="K658" s="3">
        <v>59.025000000000034</v>
      </c>
      <c r="L658">
        <v>334.47499999999997</v>
      </c>
      <c r="M658">
        <v>22.174999999999955</v>
      </c>
      <c r="N658" t="str">
        <f>"P. "&amp;(Sales__tbl[[#This Row],[product_id]]&amp;"."&amp;TEXT(Sales__tbl[[#This Row],[selling_price]],"0.00"))</f>
        <v>P. P.id11.196.75</v>
      </c>
    </row>
    <row r="659" spans="1:14" x14ac:dyDescent="0.25">
      <c r="A659">
        <v>658</v>
      </c>
      <c r="B659" s="9" t="str">
        <f>TEXT(Sales__tbl[[#This Row],[date]],"MM")</f>
        <v>11</v>
      </c>
      <c r="C659" s="13">
        <v>45626</v>
      </c>
      <c r="D659" t="str">
        <f>_xlfn.XLOOKUP(Sales__tbl[[#This Row],[customer_id]],customer_tbl[customer_id],customer_tbl[Branch_id],"Not found")</f>
        <v>S01</v>
      </c>
      <c r="E659" t="s">
        <v>1004</v>
      </c>
      <c r="F659" t="s">
        <v>958</v>
      </c>
      <c r="G659" t="s">
        <v>939</v>
      </c>
      <c r="H659">
        <v>1</v>
      </c>
      <c r="I659">
        <v>90.53</v>
      </c>
      <c r="J659">
        <v>0</v>
      </c>
      <c r="K659" s="3">
        <v>0</v>
      </c>
      <c r="L659">
        <v>90.53</v>
      </c>
      <c r="M659">
        <v>12.489999999999995</v>
      </c>
      <c r="N659" t="str">
        <f>"P. "&amp;(Sales__tbl[[#This Row],[product_id]]&amp;"."&amp;TEXT(Sales__tbl[[#This Row],[selling_price]],"0.00"))</f>
        <v>P. P.id03.90.53</v>
      </c>
    </row>
    <row r="660" spans="1:14" x14ac:dyDescent="0.25">
      <c r="A660">
        <v>659</v>
      </c>
      <c r="B660" s="9" t="str">
        <f>TEXT(Sales__tbl[[#This Row],[date]],"MM")</f>
        <v>12</v>
      </c>
      <c r="C660" s="13">
        <v>45627</v>
      </c>
      <c r="D660" t="str">
        <f>_xlfn.XLOOKUP(Sales__tbl[[#This Row],[customer_id]],customer_tbl[customer_id],customer_tbl[Branch_id],"Not found")</f>
        <v>C01</v>
      </c>
      <c r="E660" t="s">
        <v>1152</v>
      </c>
      <c r="F660" t="s">
        <v>960</v>
      </c>
      <c r="G660" t="s">
        <v>839</v>
      </c>
      <c r="H660">
        <v>1</v>
      </c>
      <c r="I660">
        <v>165.45</v>
      </c>
      <c r="J660">
        <v>0.1</v>
      </c>
      <c r="K660" s="3">
        <v>16.544999999999987</v>
      </c>
      <c r="L660">
        <v>148.905</v>
      </c>
      <c r="M660">
        <v>25.435000000000002</v>
      </c>
      <c r="N660" t="str">
        <f>"P. "&amp;(Sales__tbl[[#This Row],[product_id]]&amp;"."&amp;TEXT(Sales__tbl[[#This Row],[selling_price]],"0.00"))</f>
        <v>P. P.id05.165.45</v>
      </c>
    </row>
    <row r="661" spans="1:14" x14ac:dyDescent="0.25">
      <c r="A661">
        <v>660</v>
      </c>
      <c r="B661" s="9" t="str">
        <f>TEXT(Sales__tbl[[#This Row],[date]],"MM")</f>
        <v>12</v>
      </c>
      <c r="C661" s="13">
        <v>45628</v>
      </c>
      <c r="D661" t="str">
        <f>_xlfn.XLOOKUP(Sales__tbl[[#This Row],[customer_id]],customer_tbl[customer_id],customer_tbl[Branch_id],"Not found")</f>
        <v>E01</v>
      </c>
      <c r="E661" t="s">
        <v>1180</v>
      </c>
      <c r="F661" t="s">
        <v>958</v>
      </c>
      <c r="G661" t="s">
        <v>939</v>
      </c>
      <c r="H661">
        <v>1</v>
      </c>
      <c r="I661">
        <v>90.53</v>
      </c>
      <c r="J661">
        <v>0</v>
      </c>
      <c r="K661" s="3">
        <v>0</v>
      </c>
      <c r="L661">
        <v>90.53</v>
      </c>
      <c r="M661">
        <v>12.489999999999995</v>
      </c>
      <c r="N661" t="str">
        <f>"P. "&amp;(Sales__tbl[[#This Row],[product_id]]&amp;"."&amp;TEXT(Sales__tbl[[#This Row],[selling_price]],"0.00"))</f>
        <v>P. P.id03.90.53</v>
      </c>
    </row>
    <row r="662" spans="1:14" x14ac:dyDescent="0.25">
      <c r="A662">
        <v>661</v>
      </c>
      <c r="B662" s="9" t="str">
        <f>TEXT(Sales__tbl[[#This Row],[date]],"MM")</f>
        <v>12</v>
      </c>
      <c r="C662" s="13">
        <v>45629</v>
      </c>
      <c r="D662" t="str">
        <f>_xlfn.XLOOKUP(Sales__tbl[[#This Row],[customer_id]],customer_tbl[customer_id],customer_tbl[Branch_id],"Not found")</f>
        <v>E01</v>
      </c>
      <c r="E662" t="s">
        <v>1150</v>
      </c>
      <c r="F662" t="s">
        <v>959</v>
      </c>
      <c r="G662" t="s">
        <v>837</v>
      </c>
      <c r="H662">
        <v>1</v>
      </c>
      <c r="I662">
        <v>11.53</v>
      </c>
      <c r="J662">
        <v>0</v>
      </c>
      <c r="K662" s="3">
        <v>0</v>
      </c>
      <c r="L662">
        <v>11.53</v>
      </c>
      <c r="M662">
        <v>2.5199999999999996</v>
      </c>
      <c r="N662" t="str">
        <f>"P. "&amp;(Sales__tbl[[#This Row],[product_id]]&amp;"."&amp;TEXT(Sales__tbl[[#This Row],[selling_price]],"0.00"))</f>
        <v>P. P.id04.11.53</v>
      </c>
    </row>
    <row r="663" spans="1:14" x14ac:dyDescent="0.25">
      <c r="A663">
        <v>662</v>
      </c>
      <c r="B663" s="9" t="str">
        <f>TEXT(Sales__tbl[[#This Row],[date]],"MM")</f>
        <v>12</v>
      </c>
      <c r="C663" s="13">
        <v>45630</v>
      </c>
      <c r="D663" t="str">
        <f>_xlfn.XLOOKUP(Sales__tbl[[#This Row],[customer_id]],customer_tbl[customer_id],customer_tbl[Branch_id],"Not found")</f>
        <v>E01</v>
      </c>
      <c r="E663" t="s">
        <v>1074</v>
      </c>
      <c r="F663" t="s">
        <v>964</v>
      </c>
      <c r="G663" t="s">
        <v>943</v>
      </c>
      <c r="H663">
        <v>1</v>
      </c>
      <c r="I663">
        <v>190.58</v>
      </c>
      <c r="J663">
        <v>0.1</v>
      </c>
      <c r="K663" s="3">
        <v>19.057999999999993</v>
      </c>
      <c r="L663">
        <v>171.52200000000002</v>
      </c>
      <c r="M663">
        <v>23.782000000000011</v>
      </c>
      <c r="N663" t="str">
        <f>"P. "&amp;(Sales__tbl[[#This Row],[product_id]]&amp;"."&amp;TEXT(Sales__tbl[[#This Row],[selling_price]],"0.00"))</f>
        <v>P. P.id09.190.58</v>
      </c>
    </row>
    <row r="664" spans="1:14" x14ac:dyDescent="0.25">
      <c r="A664">
        <v>663</v>
      </c>
      <c r="B664" s="9" t="str">
        <f>TEXT(Sales__tbl[[#This Row],[date]],"MM")</f>
        <v>12</v>
      </c>
      <c r="C664" s="13">
        <v>45631</v>
      </c>
      <c r="D664" t="str">
        <f>_xlfn.XLOOKUP(Sales__tbl[[#This Row],[customer_id]],customer_tbl[customer_id],customer_tbl[Branch_id],"Not found")</f>
        <v>E02</v>
      </c>
      <c r="E664" t="s">
        <v>1068</v>
      </c>
      <c r="F664" t="s">
        <v>962</v>
      </c>
      <c r="G664" t="s">
        <v>941</v>
      </c>
      <c r="H664">
        <v>2</v>
      </c>
      <c r="I664">
        <v>259.11</v>
      </c>
      <c r="J664">
        <v>0.2</v>
      </c>
      <c r="K664" s="3">
        <v>103.64400000000001</v>
      </c>
      <c r="L664">
        <v>414.57600000000002</v>
      </c>
      <c r="M664">
        <v>66.77600000000001</v>
      </c>
      <c r="N664" t="str">
        <f>"P. "&amp;(Sales__tbl[[#This Row],[product_id]]&amp;"."&amp;TEXT(Sales__tbl[[#This Row],[selling_price]],"0.00"))</f>
        <v>P. P.id07.259.11</v>
      </c>
    </row>
    <row r="665" spans="1:14" x14ac:dyDescent="0.25">
      <c r="A665">
        <v>664</v>
      </c>
      <c r="B665" s="9" t="str">
        <f>TEXT(Sales__tbl[[#This Row],[date]],"MM")</f>
        <v>12</v>
      </c>
      <c r="C665" s="13">
        <v>45632</v>
      </c>
      <c r="D665" t="str">
        <f>_xlfn.XLOOKUP(Sales__tbl[[#This Row],[customer_id]],customer_tbl[customer_id],customer_tbl[Branch_id],"Not found")</f>
        <v>C01</v>
      </c>
      <c r="E665" t="s">
        <v>1097</v>
      </c>
      <c r="F665" t="s">
        <v>959</v>
      </c>
      <c r="G665" t="s">
        <v>837</v>
      </c>
      <c r="H665">
        <v>3</v>
      </c>
      <c r="I665">
        <v>11.53</v>
      </c>
      <c r="J665">
        <v>0</v>
      </c>
      <c r="K665" s="3">
        <v>0</v>
      </c>
      <c r="L665">
        <v>34.589999999999996</v>
      </c>
      <c r="M665">
        <v>7.5599999999999952</v>
      </c>
      <c r="N665" t="str">
        <f>"P. "&amp;(Sales__tbl[[#This Row],[product_id]]&amp;"."&amp;TEXT(Sales__tbl[[#This Row],[selling_price]],"0.00"))</f>
        <v>P. P.id04.11.53</v>
      </c>
    </row>
    <row r="666" spans="1:14" x14ac:dyDescent="0.25">
      <c r="A666">
        <v>665</v>
      </c>
      <c r="B666" s="9" t="str">
        <f>TEXT(Sales__tbl[[#This Row],[date]],"MM")</f>
        <v>12</v>
      </c>
      <c r="C666" s="13">
        <v>45633</v>
      </c>
      <c r="D666" t="str">
        <f>_xlfn.XLOOKUP(Sales__tbl[[#This Row],[customer_id]],customer_tbl[customer_id],customer_tbl[Branch_id],"Not found")</f>
        <v>W02</v>
      </c>
      <c r="E666" t="s">
        <v>1117</v>
      </c>
      <c r="F666" t="s">
        <v>963</v>
      </c>
      <c r="G666" t="s">
        <v>942</v>
      </c>
      <c r="H666">
        <v>3</v>
      </c>
      <c r="I666">
        <v>274.16000000000003</v>
      </c>
      <c r="J666">
        <v>0.2</v>
      </c>
      <c r="K666" s="3">
        <v>164.49599999999998</v>
      </c>
      <c r="L666">
        <v>657.98400000000004</v>
      </c>
      <c r="M666">
        <v>86.814000000000078</v>
      </c>
      <c r="N666" t="str">
        <f>"P. "&amp;(Sales__tbl[[#This Row],[product_id]]&amp;"."&amp;TEXT(Sales__tbl[[#This Row],[selling_price]],"0.00"))</f>
        <v>P. P.id08.274.16</v>
      </c>
    </row>
    <row r="667" spans="1:14" x14ac:dyDescent="0.25">
      <c r="A667">
        <v>666</v>
      </c>
      <c r="B667" s="9" t="str">
        <f>TEXT(Sales__tbl[[#This Row],[date]],"MM")</f>
        <v>12</v>
      </c>
      <c r="C667" s="13">
        <v>45634</v>
      </c>
      <c r="D667" t="str">
        <f>_xlfn.XLOOKUP(Sales__tbl[[#This Row],[customer_id]],customer_tbl[customer_id],customer_tbl[Branch_id],"Not found")</f>
        <v>W02</v>
      </c>
      <c r="E667" t="s">
        <v>1192</v>
      </c>
      <c r="F667" t="s">
        <v>965</v>
      </c>
      <c r="G667" t="s">
        <v>847</v>
      </c>
      <c r="H667">
        <v>4</v>
      </c>
      <c r="I667">
        <v>168</v>
      </c>
      <c r="J667">
        <v>0.2</v>
      </c>
      <c r="K667" s="3">
        <v>134.39999999999998</v>
      </c>
      <c r="L667">
        <v>537.6</v>
      </c>
      <c r="M667">
        <v>50.640000000000043</v>
      </c>
      <c r="N667" t="str">
        <f>"P. "&amp;(Sales__tbl[[#This Row],[product_id]]&amp;"."&amp;TEXT(Sales__tbl[[#This Row],[selling_price]],"0.00"))</f>
        <v>P. P.id10.168.00</v>
      </c>
    </row>
    <row r="668" spans="1:14" x14ac:dyDescent="0.25">
      <c r="A668">
        <v>667</v>
      </c>
      <c r="B668" s="9" t="str">
        <f>TEXT(Sales__tbl[[#This Row],[date]],"MM")</f>
        <v>12</v>
      </c>
      <c r="C668" s="13">
        <v>45635</v>
      </c>
      <c r="D668" t="str">
        <f>_xlfn.XLOOKUP(Sales__tbl[[#This Row],[customer_id]],customer_tbl[customer_id],customer_tbl[Branch_id],"Not found")</f>
        <v>C01</v>
      </c>
      <c r="E668" t="s">
        <v>996</v>
      </c>
      <c r="F668" t="s">
        <v>964</v>
      </c>
      <c r="G668" t="s">
        <v>943</v>
      </c>
      <c r="H668">
        <v>1</v>
      </c>
      <c r="I668">
        <v>190.58</v>
      </c>
      <c r="J668">
        <v>0.1</v>
      </c>
      <c r="K668" s="3">
        <v>19.057999999999993</v>
      </c>
      <c r="L668">
        <v>171.52200000000002</v>
      </c>
      <c r="M668">
        <v>23.782000000000011</v>
      </c>
      <c r="N668" t="str">
        <f>"P. "&amp;(Sales__tbl[[#This Row],[product_id]]&amp;"."&amp;TEXT(Sales__tbl[[#This Row],[selling_price]],"0.00"))</f>
        <v>P. P.id09.190.58</v>
      </c>
    </row>
    <row r="669" spans="1:14" x14ac:dyDescent="0.25">
      <c r="A669">
        <v>668</v>
      </c>
      <c r="B669" s="9" t="str">
        <f>TEXT(Sales__tbl[[#This Row],[date]],"MM")</f>
        <v>12</v>
      </c>
      <c r="C669" s="13">
        <v>45636</v>
      </c>
      <c r="D669" t="str">
        <f>_xlfn.XLOOKUP(Sales__tbl[[#This Row],[customer_id]],customer_tbl[customer_id],customer_tbl[Branch_id],"Not found")</f>
        <v>S02</v>
      </c>
      <c r="E669" t="s">
        <v>1120</v>
      </c>
      <c r="F669" t="s">
        <v>962</v>
      </c>
      <c r="G669" t="s">
        <v>941</v>
      </c>
      <c r="H669">
        <v>1</v>
      </c>
      <c r="I669">
        <v>259.11</v>
      </c>
      <c r="J669">
        <v>0.1</v>
      </c>
      <c r="K669" s="3">
        <v>25.911000000000001</v>
      </c>
      <c r="L669">
        <v>233.19900000000001</v>
      </c>
      <c r="M669">
        <v>59.299000000000007</v>
      </c>
      <c r="N669" t="str">
        <f>"P. "&amp;(Sales__tbl[[#This Row],[product_id]]&amp;"."&amp;TEXT(Sales__tbl[[#This Row],[selling_price]],"0.00"))</f>
        <v>P. P.id07.259.11</v>
      </c>
    </row>
    <row r="670" spans="1:14" x14ac:dyDescent="0.25">
      <c r="A670">
        <v>669</v>
      </c>
      <c r="B670" s="9" t="str">
        <f>TEXT(Sales__tbl[[#This Row],[date]],"MM")</f>
        <v>12</v>
      </c>
      <c r="C670" s="13">
        <v>45637</v>
      </c>
      <c r="D670" t="str">
        <f>_xlfn.XLOOKUP(Sales__tbl[[#This Row],[customer_id]],customer_tbl[customer_id],customer_tbl[Branch_id],"Not found")</f>
        <v>W02</v>
      </c>
      <c r="E670" t="s">
        <v>1041</v>
      </c>
      <c r="F670" t="s">
        <v>967</v>
      </c>
      <c r="G670" t="s">
        <v>872</v>
      </c>
      <c r="H670">
        <v>1</v>
      </c>
      <c r="I670">
        <v>91.73</v>
      </c>
      <c r="J670">
        <v>0</v>
      </c>
      <c r="K670" s="3">
        <v>0</v>
      </c>
      <c r="L670">
        <v>91.73</v>
      </c>
      <c r="M670">
        <v>15.290000000000006</v>
      </c>
      <c r="N670" t="str">
        <f>"P. "&amp;(Sales__tbl[[#This Row],[product_id]]&amp;"."&amp;TEXT(Sales__tbl[[#This Row],[selling_price]],"0.00"))</f>
        <v>P. P.id12.91.73</v>
      </c>
    </row>
    <row r="671" spans="1:14" x14ac:dyDescent="0.25">
      <c r="A671">
        <v>670</v>
      </c>
      <c r="B671" s="9" t="str">
        <f>TEXT(Sales__tbl[[#This Row],[date]],"MM")</f>
        <v>12</v>
      </c>
      <c r="C671" s="13">
        <v>45638</v>
      </c>
      <c r="D671" t="str">
        <f>_xlfn.XLOOKUP(Sales__tbl[[#This Row],[customer_id]],customer_tbl[customer_id],customer_tbl[Branch_id],"Not found")</f>
        <v>E01</v>
      </c>
      <c r="E671" t="s">
        <v>1047</v>
      </c>
      <c r="F671" t="s">
        <v>963</v>
      </c>
      <c r="G671" t="s">
        <v>942</v>
      </c>
      <c r="H671">
        <v>1</v>
      </c>
      <c r="I671">
        <v>274.16000000000003</v>
      </c>
      <c r="J671">
        <v>0.1</v>
      </c>
      <c r="K671" s="3">
        <v>27.415999999999997</v>
      </c>
      <c r="L671">
        <v>246.74400000000003</v>
      </c>
      <c r="M671">
        <v>56.354000000000042</v>
      </c>
      <c r="N671" t="str">
        <f>"P. "&amp;(Sales__tbl[[#This Row],[product_id]]&amp;"."&amp;TEXT(Sales__tbl[[#This Row],[selling_price]],"0.00"))</f>
        <v>P. P.id08.274.16</v>
      </c>
    </row>
    <row r="672" spans="1:14" x14ac:dyDescent="0.25">
      <c r="A672">
        <v>671</v>
      </c>
      <c r="B672" s="9" t="str">
        <f>TEXT(Sales__tbl[[#This Row],[date]],"MM")</f>
        <v>12</v>
      </c>
      <c r="C672" s="13">
        <v>45639</v>
      </c>
      <c r="D672" t="str">
        <f>_xlfn.XLOOKUP(Sales__tbl[[#This Row],[customer_id]],customer_tbl[customer_id],customer_tbl[Branch_id],"Not found")</f>
        <v>S02</v>
      </c>
      <c r="E672" t="s">
        <v>1053</v>
      </c>
      <c r="F672" t="s">
        <v>962</v>
      </c>
      <c r="G672" t="s">
        <v>941</v>
      </c>
      <c r="H672">
        <v>1</v>
      </c>
      <c r="I672">
        <v>259.11</v>
      </c>
      <c r="J672">
        <v>0.1</v>
      </c>
      <c r="K672" s="3">
        <v>25.911000000000001</v>
      </c>
      <c r="L672">
        <v>233.19900000000001</v>
      </c>
      <c r="M672">
        <v>59.299000000000007</v>
      </c>
      <c r="N672" t="str">
        <f>"P. "&amp;(Sales__tbl[[#This Row],[product_id]]&amp;"."&amp;TEXT(Sales__tbl[[#This Row],[selling_price]],"0.00"))</f>
        <v>P. P.id07.259.11</v>
      </c>
    </row>
    <row r="673" spans="1:14" x14ac:dyDescent="0.25">
      <c r="A673">
        <v>672</v>
      </c>
      <c r="B673" s="9" t="str">
        <f>TEXT(Sales__tbl[[#This Row],[date]],"MM")</f>
        <v>12</v>
      </c>
      <c r="C673" s="13">
        <v>45640</v>
      </c>
      <c r="D673" t="str">
        <f>_xlfn.XLOOKUP(Sales__tbl[[#This Row],[customer_id]],customer_tbl[customer_id],customer_tbl[Branch_id],"Not found")</f>
        <v>E02</v>
      </c>
      <c r="E673" t="s">
        <v>1158</v>
      </c>
      <c r="F673" t="s">
        <v>958</v>
      </c>
      <c r="G673" t="s">
        <v>939</v>
      </c>
      <c r="H673">
        <v>2</v>
      </c>
      <c r="I673">
        <v>90.53</v>
      </c>
      <c r="J673">
        <v>0.1</v>
      </c>
      <c r="K673" s="3">
        <v>18.105999999999995</v>
      </c>
      <c r="L673">
        <v>162.95400000000001</v>
      </c>
      <c r="M673">
        <v>6.8739999999999952</v>
      </c>
      <c r="N673" t="str">
        <f>"P. "&amp;(Sales__tbl[[#This Row],[product_id]]&amp;"."&amp;TEXT(Sales__tbl[[#This Row],[selling_price]],"0.00"))</f>
        <v>P. P.id03.90.53</v>
      </c>
    </row>
    <row r="674" spans="1:14" x14ac:dyDescent="0.25">
      <c r="A674">
        <v>673</v>
      </c>
      <c r="B674" s="9" t="str">
        <f>TEXT(Sales__tbl[[#This Row],[date]],"MM")</f>
        <v>12</v>
      </c>
      <c r="C674" s="13">
        <v>45641</v>
      </c>
      <c r="D674" t="str">
        <f>_xlfn.XLOOKUP(Sales__tbl[[#This Row],[customer_id]],customer_tbl[customer_id],customer_tbl[Branch_id],"Not found")</f>
        <v>N01</v>
      </c>
      <c r="E674" t="s">
        <v>1030</v>
      </c>
      <c r="F674" t="s">
        <v>964</v>
      </c>
      <c r="G674" t="s">
        <v>943</v>
      </c>
      <c r="H674">
        <v>1</v>
      </c>
      <c r="I674">
        <v>190.58</v>
      </c>
      <c r="J674">
        <v>0.1</v>
      </c>
      <c r="K674" s="3">
        <v>19.057999999999993</v>
      </c>
      <c r="L674">
        <v>171.52200000000002</v>
      </c>
      <c r="M674">
        <v>23.782000000000011</v>
      </c>
      <c r="N674" t="str">
        <f>"P. "&amp;(Sales__tbl[[#This Row],[product_id]]&amp;"."&amp;TEXT(Sales__tbl[[#This Row],[selling_price]],"0.00"))</f>
        <v>P. P.id09.190.58</v>
      </c>
    </row>
    <row r="675" spans="1:14" x14ac:dyDescent="0.25">
      <c r="A675">
        <v>674</v>
      </c>
      <c r="B675" s="9" t="str">
        <f>TEXT(Sales__tbl[[#This Row],[date]],"MM")</f>
        <v>12</v>
      </c>
      <c r="C675" s="13">
        <v>45642</v>
      </c>
      <c r="D675" t="str">
        <f>_xlfn.XLOOKUP(Sales__tbl[[#This Row],[customer_id]],customer_tbl[customer_id],customer_tbl[Branch_id],"Not found")</f>
        <v>S01</v>
      </c>
      <c r="E675" t="s">
        <v>1171</v>
      </c>
      <c r="F675" t="s">
        <v>956</v>
      </c>
      <c r="G675" t="s">
        <v>831</v>
      </c>
      <c r="H675">
        <v>1</v>
      </c>
      <c r="I675">
        <v>303.48</v>
      </c>
      <c r="J675">
        <v>0.15</v>
      </c>
      <c r="K675" s="3">
        <v>45.521999999999991</v>
      </c>
      <c r="L675">
        <v>257.95800000000003</v>
      </c>
      <c r="M675">
        <v>64.658000000000015</v>
      </c>
      <c r="N675" t="str">
        <f>"P. "&amp;(Sales__tbl[[#This Row],[product_id]]&amp;"."&amp;TEXT(Sales__tbl[[#This Row],[selling_price]],"0.00"))</f>
        <v>P. P.id01.303.48</v>
      </c>
    </row>
    <row r="676" spans="1:14" x14ac:dyDescent="0.25">
      <c r="A676">
        <v>675</v>
      </c>
      <c r="B676" s="9" t="str">
        <f>TEXT(Sales__tbl[[#This Row],[date]],"MM")</f>
        <v>12</v>
      </c>
      <c r="C676" s="13">
        <v>45643</v>
      </c>
      <c r="D676" t="str">
        <f>_xlfn.XLOOKUP(Sales__tbl[[#This Row],[customer_id]],customer_tbl[customer_id],customer_tbl[Branch_id],"Not found")</f>
        <v>N02</v>
      </c>
      <c r="E676" t="s">
        <v>1038</v>
      </c>
      <c r="F676" t="s">
        <v>959</v>
      </c>
      <c r="G676" t="s">
        <v>837</v>
      </c>
      <c r="H676">
        <v>1</v>
      </c>
      <c r="I676">
        <v>11.53</v>
      </c>
      <c r="J676">
        <v>0</v>
      </c>
      <c r="K676" s="3">
        <v>0</v>
      </c>
      <c r="L676">
        <v>11.53</v>
      </c>
      <c r="M676">
        <v>2.5199999999999996</v>
      </c>
      <c r="N676" t="str">
        <f>"P. "&amp;(Sales__tbl[[#This Row],[product_id]]&amp;"."&amp;TEXT(Sales__tbl[[#This Row],[selling_price]],"0.00"))</f>
        <v>P. P.id04.11.53</v>
      </c>
    </row>
    <row r="677" spans="1:14" x14ac:dyDescent="0.25">
      <c r="A677">
        <v>676</v>
      </c>
      <c r="B677" s="9" t="str">
        <f>TEXT(Sales__tbl[[#This Row],[date]],"MM")</f>
        <v>12</v>
      </c>
      <c r="C677" s="13">
        <v>45644</v>
      </c>
      <c r="D677" t="str">
        <f>_xlfn.XLOOKUP(Sales__tbl[[#This Row],[customer_id]],customer_tbl[customer_id],customer_tbl[Branch_id],"Not found")</f>
        <v>N01</v>
      </c>
      <c r="E677" t="s">
        <v>998</v>
      </c>
      <c r="F677" t="s">
        <v>967</v>
      </c>
      <c r="G677" t="s">
        <v>872</v>
      </c>
      <c r="H677">
        <v>1</v>
      </c>
      <c r="I677">
        <v>91.73</v>
      </c>
      <c r="J677">
        <v>0</v>
      </c>
      <c r="K677" s="3">
        <v>0</v>
      </c>
      <c r="L677">
        <v>91.73</v>
      </c>
      <c r="M677">
        <v>15.290000000000006</v>
      </c>
      <c r="N677" t="str">
        <f>"P. "&amp;(Sales__tbl[[#This Row],[product_id]]&amp;"."&amp;TEXT(Sales__tbl[[#This Row],[selling_price]],"0.00"))</f>
        <v>P. P.id12.91.73</v>
      </c>
    </row>
    <row r="678" spans="1:14" x14ac:dyDescent="0.25">
      <c r="A678">
        <v>677</v>
      </c>
      <c r="B678" s="9" t="str">
        <f>TEXT(Sales__tbl[[#This Row],[date]],"MM")</f>
        <v>12</v>
      </c>
      <c r="C678" s="13">
        <v>45645</v>
      </c>
      <c r="D678" t="str">
        <f>_xlfn.XLOOKUP(Sales__tbl[[#This Row],[customer_id]],customer_tbl[customer_id],customer_tbl[Branch_id],"Not found")</f>
        <v>N02</v>
      </c>
      <c r="E678" t="s">
        <v>1018</v>
      </c>
      <c r="F678" t="s">
        <v>966</v>
      </c>
      <c r="G678" t="s">
        <v>851</v>
      </c>
      <c r="H678">
        <v>2</v>
      </c>
      <c r="I678">
        <v>196.75</v>
      </c>
      <c r="J678">
        <v>0.15</v>
      </c>
      <c r="K678" s="3">
        <v>59.025000000000034</v>
      </c>
      <c r="L678">
        <v>334.47499999999997</v>
      </c>
      <c r="M678">
        <v>22.174999999999955</v>
      </c>
      <c r="N678" t="str">
        <f>"P. "&amp;(Sales__tbl[[#This Row],[product_id]]&amp;"."&amp;TEXT(Sales__tbl[[#This Row],[selling_price]],"0.00"))</f>
        <v>P. P.id11.196.75</v>
      </c>
    </row>
    <row r="679" spans="1:14" x14ac:dyDescent="0.25">
      <c r="A679">
        <v>678</v>
      </c>
      <c r="B679" s="9" t="str">
        <f>TEXT(Sales__tbl[[#This Row],[date]],"MM")</f>
        <v>12</v>
      </c>
      <c r="C679" s="13">
        <v>45646</v>
      </c>
      <c r="D679" t="str">
        <f>_xlfn.XLOOKUP(Sales__tbl[[#This Row],[customer_id]],customer_tbl[customer_id],customer_tbl[Branch_id],"Not found")</f>
        <v>S01</v>
      </c>
      <c r="E679" t="s">
        <v>1183</v>
      </c>
      <c r="F679" t="s">
        <v>956</v>
      </c>
      <c r="G679" t="s">
        <v>831</v>
      </c>
      <c r="H679">
        <v>1</v>
      </c>
      <c r="I679">
        <v>303.48</v>
      </c>
      <c r="J679">
        <v>0.15</v>
      </c>
      <c r="K679" s="3">
        <v>45.521999999999991</v>
      </c>
      <c r="L679">
        <v>257.95800000000003</v>
      </c>
      <c r="M679">
        <v>64.658000000000015</v>
      </c>
      <c r="N679" t="str">
        <f>"P. "&amp;(Sales__tbl[[#This Row],[product_id]]&amp;"."&amp;TEXT(Sales__tbl[[#This Row],[selling_price]],"0.00"))</f>
        <v>P. P.id01.303.48</v>
      </c>
    </row>
    <row r="680" spans="1:14" x14ac:dyDescent="0.25">
      <c r="A680">
        <v>679</v>
      </c>
      <c r="B680" s="9" t="str">
        <f>TEXT(Sales__tbl[[#This Row],[date]],"MM")</f>
        <v>12</v>
      </c>
      <c r="C680" s="13">
        <v>45647</v>
      </c>
      <c r="D680" t="str">
        <f>_xlfn.XLOOKUP(Sales__tbl[[#This Row],[customer_id]],customer_tbl[customer_id],customer_tbl[Branch_id],"Not found")</f>
        <v>W02</v>
      </c>
      <c r="E680" t="s">
        <v>1046</v>
      </c>
      <c r="F680" t="s">
        <v>967</v>
      </c>
      <c r="G680" t="s">
        <v>872</v>
      </c>
      <c r="H680">
        <v>1</v>
      </c>
      <c r="I680">
        <v>91.73</v>
      </c>
      <c r="J680">
        <v>0</v>
      </c>
      <c r="K680" s="3">
        <v>0</v>
      </c>
      <c r="L680">
        <v>91.73</v>
      </c>
      <c r="M680">
        <v>15.290000000000006</v>
      </c>
      <c r="N680" t="str">
        <f>"P. "&amp;(Sales__tbl[[#This Row],[product_id]]&amp;"."&amp;TEXT(Sales__tbl[[#This Row],[selling_price]],"0.00"))</f>
        <v>P. P.id12.91.73</v>
      </c>
    </row>
    <row r="681" spans="1:14" x14ac:dyDescent="0.25">
      <c r="A681">
        <v>680</v>
      </c>
      <c r="B681" s="9" t="str">
        <f>TEXT(Sales__tbl[[#This Row],[date]],"MM")</f>
        <v>12</v>
      </c>
      <c r="C681" s="13">
        <v>45648</v>
      </c>
      <c r="D681" t="str">
        <f>_xlfn.XLOOKUP(Sales__tbl[[#This Row],[customer_id]],customer_tbl[customer_id],customer_tbl[Branch_id],"Not found")</f>
        <v>E01</v>
      </c>
      <c r="E681" t="s">
        <v>1032</v>
      </c>
      <c r="F681" t="s">
        <v>967</v>
      </c>
      <c r="G681" t="s">
        <v>872</v>
      </c>
      <c r="H681">
        <v>1</v>
      </c>
      <c r="I681">
        <v>91.73</v>
      </c>
      <c r="J681">
        <v>0</v>
      </c>
      <c r="K681" s="3">
        <v>0</v>
      </c>
      <c r="L681">
        <v>91.73</v>
      </c>
      <c r="M681">
        <v>15.290000000000006</v>
      </c>
      <c r="N681" t="str">
        <f>"P. "&amp;(Sales__tbl[[#This Row],[product_id]]&amp;"."&amp;TEXT(Sales__tbl[[#This Row],[selling_price]],"0.00"))</f>
        <v>P. P.id12.91.73</v>
      </c>
    </row>
    <row r="682" spans="1:14" x14ac:dyDescent="0.25">
      <c r="A682">
        <v>681</v>
      </c>
      <c r="B682" s="9" t="str">
        <f>TEXT(Sales__tbl[[#This Row],[date]],"MM")</f>
        <v>12</v>
      </c>
      <c r="C682" s="13">
        <v>45649</v>
      </c>
      <c r="D682" t="str">
        <f>_xlfn.XLOOKUP(Sales__tbl[[#This Row],[customer_id]],customer_tbl[customer_id],customer_tbl[Branch_id],"Not found")</f>
        <v>C02</v>
      </c>
      <c r="E682" t="s">
        <v>1175</v>
      </c>
      <c r="F682" t="s">
        <v>958</v>
      </c>
      <c r="G682" t="s">
        <v>939</v>
      </c>
      <c r="H682">
        <v>1</v>
      </c>
      <c r="I682">
        <v>90.53</v>
      </c>
      <c r="J682">
        <v>0</v>
      </c>
      <c r="K682" s="3">
        <v>0</v>
      </c>
      <c r="L682">
        <v>90.53</v>
      </c>
      <c r="M682">
        <v>12.489999999999995</v>
      </c>
      <c r="N682" t="str">
        <f>"P. "&amp;(Sales__tbl[[#This Row],[product_id]]&amp;"."&amp;TEXT(Sales__tbl[[#This Row],[selling_price]],"0.00"))</f>
        <v>P. P.id03.90.53</v>
      </c>
    </row>
    <row r="683" spans="1:14" x14ac:dyDescent="0.25">
      <c r="A683">
        <v>682</v>
      </c>
      <c r="B683" s="9" t="str">
        <f>TEXT(Sales__tbl[[#This Row],[date]],"MM")</f>
        <v>12</v>
      </c>
      <c r="C683" s="13">
        <v>45650</v>
      </c>
      <c r="D683" t="str">
        <f>_xlfn.XLOOKUP(Sales__tbl[[#This Row],[customer_id]],customer_tbl[customer_id],customer_tbl[Branch_id],"Not found")</f>
        <v>E02</v>
      </c>
      <c r="E683" t="s">
        <v>1002</v>
      </c>
      <c r="F683" t="s">
        <v>961</v>
      </c>
      <c r="G683" t="s">
        <v>940</v>
      </c>
      <c r="H683">
        <v>1</v>
      </c>
      <c r="I683">
        <v>66.790000000000006</v>
      </c>
      <c r="J683">
        <v>0</v>
      </c>
      <c r="K683" s="3">
        <v>0</v>
      </c>
      <c r="L683">
        <v>66.790000000000006</v>
      </c>
      <c r="M683">
        <v>22.850000000000009</v>
      </c>
      <c r="N683" t="str">
        <f>"P. "&amp;(Sales__tbl[[#This Row],[product_id]]&amp;"."&amp;TEXT(Sales__tbl[[#This Row],[selling_price]],"0.00"))</f>
        <v>P. P.id06.66.79</v>
      </c>
    </row>
    <row r="684" spans="1:14" x14ac:dyDescent="0.25">
      <c r="A684">
        <v>683</v>
      </c>
      <c r="B684" s="9" t="str">
        <f>TEXT(Sales__tbl[[#This Row],[date]],"MM")</f>
        <v>12</v>
      </c>
      <c r="C684" s="13">
        <v>45651</v>
      </c>
      <c r="D684" t="str">
        <f>_xlfn.XLOOKUP(Sales__tbl[[#This Row],[customer_id]],customer_tbl[customer_id],customer_tbl[Branch_id],"Not found")</f>
        <v>S01</v>
      </c>
      <c r="E684" t="s">
        <v>1004</v>
      </c>
      <c r="F684" t="s">
        <v>962</v>
      </c>
      <c r="G684" t="s">
        <v>941</v>
      </c>
      <c r="H684">
        <v>1</v>
      </c>
      <c r="I684">
        <v>259.11</v>
      </c>
      <c r="J684">
        <v>0.1</v>
      </c>
      <c r="K684" s="3">
        <v>25.911000000000001</v>
      </c>
      <c r="L684">
        <v>233.19900000000001</v>
      </c>
      <c r="M684">
        <v>59.299000000000007</v>
      </c>
      <c r="N684" t="str">
        <f>"P. "&amp;(Sales__tbl[[#This Row],[product_id]]&amp;"."&amp;TEXT(Sales__tbl[[#This Row],[selling_price]],"0.00"))</f>
        <v>P. P.id07.259.11</v>
      </c>
    </row>
    <row r="685" spans="1:14" x14ac:dyDescent="0.25">
      <c r="A685">
        <v>684</v>
      </c>
      <c r="B685" s="9" t="str">
        <f>TEXT(Sales__tbl[[#This Row],[date]],"MM")</f>
        <v>12</v>
      </c>
      <c r="C685" s="13">
        <v>45652</v>
      </c>
      <c r="D685" t="str">
        <f>_xlfn.XLOOKUP(Sales__tbl[[#This Row],[customer_id]],customer_tbl[customer_id],customer_tbl[Branch_id],"Not found")</f>
        <v>S01</v>
      </c>
      <c r="E685" t="s">
        <v>1171</v>
      </c>
      <c r="F685" t="s">
        <v>963</v>
      </c>
      <c r="G685" t="s">
        <v>942</v>
      </c>
      <c r="H685">
        <v>1</v>
      </c>
      <c r="I685">
        <v>274.16000000000003</v>
      </c>
      <c r="J685">
        <v>0.1</v>
      </c>
      <c r="K685" s="3">
        <v>27.415999999999997</v>
      </c>
      <c r="L685">
        <v>246.74400000000003</v>
      </c>
      <c r="M685">
        <v>56.354000000000042</v>
      </c>
      <c r="N685" t="str">
        <f>"P. "&amp;(Sales__tbl[[#This Row],[product_id]]&amp;"."&amp;TEXT(Sales__tbl[[#This Row],[selling_price]],"0.00"))</f>
        <v>P. P.id08.274.16</v>
      </c>
    </row>
    <row r="686" spans="1:14" x14ac:dyDescent="0.25">
      <c r="A686">
        <v>685</v>
      </c>
      <c r="B686" s="9" t="str">
        <f>TEXT(Sales__tbl[[#This Row],[date]],"MM")</f>
        <v>12</v>
      </c>
      <c r="C686" s="13">
        <v>45653</v>
      </c>
      <c r="D686" t="str">
        <f>_xlfn.XLOOKUP(Sales__tbl[[#This Row],[customer_id]],customer_tbl[customer_id],customer_tbl[Branch_id],"Not found")</f>
        <v>N01</v>
      </c>
      <c r="E686" t="s">
        <v>1170</v>
      </c>
      <c r="F686" t="s">
        <v>961</v>
      </c>
      <c r="G686" t="s">
        <v>940</v>
      </c>
      <c r="H686">
        <v>2</v>
      </c>
      <c r="I686">
        <v>66.790000000000006</v>
      </c>
      <c r="J686">
        <v>0</v>
      </c>
      <c r="K686" s="3">
        <v>0</v>
      </c>
      <c r="L686">
        <v>133.58000000000001</v>
      </c>
      <c r="M686">
        <v>45.700000000000017</v>
      </c>
      <c r="N686" t="str">
        <f>"P. "&amp;(Sales__tbl[[#This Row],[product_id]]&amp;"."&amp;TEXT(Sales__tbl[[#This Row],[selling_price]],"0.00"))</f>
        <v>P. P.id06.66.79</v>
      </c>
    </row>
    <row r="687" spans="1:14" x14ac:dyDescent="0.25">
      <c r="A687">
        <v>686</v>
      </c>
      <c r="B687" s="9" t="str">
        <f>TEXT(Sales__tbl[[#This Row],[date]],"MM")</f>
        <v>12</v>
      </c>
      <c r="C687" s="13">
        <v>45654</v>
      </c>
      <c r="D687" t="str">
        <f>_xlfn.XLOOKUP(Sales__tbl[[#This Row],[customer_id]],customer_tbl[customer_id],customer_tbl[Branch_id],"Not found")</f>
        <v>C01</v>
      </c>
      <c r="E687" t="s">
        <v>996</v>
      </c>
      <c r="F687" t="s">
        <v>959</v>
      </c>
      <c r="G687" t="s">
        <v>837</v>
      </c>
      <c r="H687">
        <v>2</v>
      </c>
      <c r="I687">
        <v>11.53</v>
      </c>
      <c r="J687">
        <v>0</v>
      </c>
      <c r="K687" s="3">
        <v>0</v>
      </c>
      <c r="L687">
        <v>23.06</v>
      </c>
      <c r="M687">
        <v>5.0399999999999991</v>
      </c>
      <c r="N687" t="str">
        <f>"P. "&amp;(Sales__tbl[[#This Row],[product_id]]&amp;"."&amp;TEXT(Sales__tbl[[#This Row],[selling_price]],"0.00"))</f>
        <v>P. P.id04.11.53</v>
      </c>
    </row>
    <row r="688" spans="1:14" x14ac:dyDescent="0.25">
      <c r="A688">
        <v>687</v>
      </c>
      <c r="B688" s="9" t="str">
        <f>TEXT(Sales__tbl[[#This Row],[date]],"MM")</f>
        <v>12</v>
      </c>
      <c r="C688" s="13">
        <v>45655</v>
      </c>
      <c r="D688" t="str">
        <f>_xlfn.XLOOKUP(Sales__tbl[[#This Row],[customer_id]],customer_tbl[customer_id],customer_tbl[Branch_id],"Not found")</f>
        <v>E02</v>
      </c>
      <c r="E688" t="s">
        <v>1065</v>
      </c>
      <c r="F688" t="s">
        <v>961</v>
      </c>
      <c r="G688" t="s">
        <v>940</v>
      </c>
      <c r="H688">
        <v>3</v>
      </c>
      <c r="I688">
        <v>66.790000000000006</v>
      </c>
      <c r="J688">
        <v>0.1</v>
      </c>
      <c r="K688" s="3">
        <v>20.037000000000006</v>
      </c>
      <c r="L688">
        <v>180.333</v>
      </c>
      <c r="M688">
        <v>48.513000000000005</v>
      </c>
      <c r="N688" t="str">
        <f>"P. "&amp;(Sales__tbl[[#This Row],[product_id]]&amp;"."&amp;TEXT(Sales__tbl[[#This Row],[selling_price]],"0.00"))</f>
        <v>P. P.id06.66.79</v>
      </c>
    </row>
    <row r="689" spans="1:14" x14ac:dyDescent="0.25">
      <c r="A689">
        <v>688</v>
      </c>
      <c r="B689" s="9" t="str">
        <f>TEXT(Sales__tbl[[#This Row],[date]],"MM")</f>
        <v>12</v>
      </c>
      <c r="C689" s="13">
        <v>45656</v>
      </c>
      <c r="D689" t="str">
        <f>_xlfn.XLOOKUP(Sales__tbl[[#This Row],[customer_id]],customer_tbl[customer_id],customer_tbl[Branch_id],"Not found")</f>
        <v>W01</v>
      </c>
      <c r="E689" t="s">
        <v>1086</v>
      </c>
      <c r="F689" t="s">
        <v>965</v>
      </c>
      <c r="G689" t="s">
        <v>847</v>
      </c>
      <c r="H689">
        <v>2</v>
      </c>
      <c r="I689">
        <v>168</v>
      </c>
      <c r="J689">
        <v>0.15</v>
      </c>
      <c r="K689" s="3">
        <v>50.400000000000034</v>
      </c>
      <c r="L689">
        <v>285.59999999999997</v>
      </c>
      <c r="M689">
        <v>42.119999999999976</v>
      </c>
      <c r="N689" t="str">
        <f>"P. "&amp;(Sales__tbl[[#This Row],[product_id]]&amp;"."&amp;TEXT(Sales__tbl[[#This Row],[selling_price]],"0.00"))</f>
        <v>P. P.id10.168.00</v>
      </c>
    </row>
    <row r="690" spans="1:14" x14ac:dyDescent="0.25">
      <c r="A690">
        <v>689</v>
      </c>
      <c r="B690" s="9" t="str">
        <f>TEXT(Sales__tbl[[#This Row],[date]],"MM")</f>
        <v>12</v>
      </c>
      <c r="C690" s="13">
        <v>45657</v>
      </c>
      <c r="D690" t="str">
        <f>_xlfn.XLOOKUP(Sales__tbl[[#This Row],[customer_id]],customer_tbl[customer_id],customer_tbl[Branch_id],"Not found")</f>
        <v>E02</v>
      </c>
      <c r="E690" t="s">
        <v>1126</v>
      </c>
      <c r="F690" t="s">
        <v>966</v>
      </c>
      <c r="G690" t="s">
        <v>851</v>
      </c>
      <c r="H690">
        <v>1</v>
      </c>
      <c r="I690">
        <v>196.75</v>
      </c>
      <c r="J690">
        <v>0.1</v>
      </c>
      <c r="K690" s="3">
        <v>19.674999999999983</v>
      </c>
      <c r="L690">
        <v>177.07500000000002</v>
      </c>
      <c r="M690">
        <v>20.925000000000011</v>
      </c>
      <c r="N690" t="str">
        <f>"P. "&amp;(Sales__tbl[[#This Row],[product_id]]&amp;"."&amp;TEXT(Sales__tbl[[#This Row],[selling_price]],"0.00"))</f>
        <v>P. P.id11.196.75</v>
      </c>
    </row>
    <row r="691" spans="1:14" x14ac:dyDescent="0.25">
      <c r="A691">
        <v>690</v>
      </c>
      <c r="B691" s="9" t="str">
        <f>TEXT(Sales__tbl[[#This Row],[date]],"MM")</f>
        <v>01</v>
      </c>
      <c r="C691" s="13">
        <v>45658</v>
      </c>
      <c r="D691" t="str">
        <f>_xlfn.XLOOKUP(Sales__tbl[[#This Row],[customer_id]],customer_tbl[customer_id],customer_tbl[Branch_id],"Not found")</f>
        <v>C02</v>
      </c>
      <c r="E691" t="s">
        <v>1106</v>
      </c>
      <c r="F691" t="s">
        <v>957</v>
      </c>
      <c r="G691" t="s">
        <v>833</v>
      </c>
      <c r="H691">
        <v>2</v>
      </c>
      <c r="I691">
        <v>55.26</v>
      </c>
      <c r="J691">
        <v>0</v>
      </c>
      <c r="K691" s="3">
        <v>0</v>
      </c>
      <c r="L691">
        <v>110.52</v>
      </c>
      <c r="M691">
        <v>39.679999999999993</v>
      </c>
      <c r="N691" t="str">
        <f>"P. "&amp;(Sales__tbl[[#This Row],[product_id]]&amp;"."&amp;TEXT(Sales__tbl[[#This Row],[selling_price]],"0.00"))</f>
        <v>P. P.id02.55.26</v>
      </c>
    </row>
    <row r="692" spans="1:14" x14ac:dyDescent="0.25">
      <c r="A692">
        <v>691</v>
      </c>
      <c r="B692" s="9" t="str">
        <f>TEXT(Sales__tbl[[#This Row],[date]],"MM")</f>
        <v>01</v>
      </c>
      <c r="C692" s="13">
        <v>45659</v>
      </c>
      <c r="D692" t="str">
        <f>_xlfn.XLOOKUP(Sales__tbl[[#This Row],[customer_id]],customer_tbl[customer_id],customer_tbl[Branch_id],"Not found")</f>
        <v>N02</v>
      </c>
      <c r="E692" t="s">
        <v>1136</v>
      </c>
      <c r="F692" t="s">
        <v>958</v>
      </c>
      <c r="G692" t="s">
        <v>939</v>
      </c>
      <c r="H692">
        <v>2</v>
      </c>
      <c r="I692">
        <v>90.53</v>
      </c>
      <c r="J692">
        <v>0.1</v>
      </c>
      <c r="K692" s="3">
        <v>18.105999999999995</v>
      </c>
      <c r="L692">
        <v>162.95400000000001</v>
      </c>
      <c r="M692">
        <v>6.8739999999999952</v>
      </c>
      <c r="N692" t="str">
        <f>"P. "&amp;(Sales__tbl[[#This Row],[product_id]]&amp;"."&amp;TEXT(Sales__tbl[[#This Row],[selling_price]],"0.00"))</f>
        <v>P. P.id03.90.53</v>
      </c>
    </row>
    <row r="693" spans="1:14" x14ac:dyDescent="0.25">
      <c r="A693">
        <v>692</v>
      </c>
      <c r="B693" s="9" t="str">
        <f>TEXT(Sales__tbl[[#This Row],[date]],"MM")</f>
        <v>01</v>
      </c>
      <c r="C693" s="13">
        <v>45660</v>
      </c>
      <c r="D693" t="str">
        <f>_xlfn.XLOOKUP(Sales__tbl[[#This Row],[customer_id]],customer_tbl[customer_id],customer_tbl[Branch_id],"Not found")</f>
        <v>E02</v>
      </c>
      <c r="E693" t="s">
        <v>1189</v>
      </c>
      <c r="F693" t="s">
        <v>966</v>
      </c>
      <c r="G693" t="s">
        <v>851</v>
      </c>
      <c r="H693">
        <v>1</v>
      </c>
      <c r="I693">
        <v>196.75</v>
      </c>
      <c r="J693">
        <v>0.1</v>
      </c>
      <c r="K693" s="3">
        <v>19.674999999999983</v>
      </c>
      <c r="L693">
        <v>177.07500000000002</v>
      </c>
      <c r="M693">
        <v>20.925000000000011</v>
      </c>
      <c r="N693" t="str">
        <f>"P. "&amp;(Sales__tbl[[#This Row],[product_id]]&amp;"."&amp;TEXT(Sales__tbl[[#This Row],[selling_price]],"0.00"))</f>
        <v>P. P.id11.196.75</v>
      </c>
    </row>
    <row r="694" spans="1:14" x14ac:dyDescent="0.25">
      <c r="A694">
        <v>693</v>
      </c>
      <c r="B694" s="9" t="str">
        <f>TEXT(Sales__tbl[[#This Row],[date]],"MM")</f>
        <v>01</v>
      </c>
      <c r="C694" s="13">
        <v>45661</v>
      </c>
      <c r="D694" t="str">
        <f>_xlfn.XLOOKUP(Sales__tbl[[#This Row],[customer_id]],customer_tbl[customer_id],customer_tbl[Branch_id],"Not found")</f>
        <v>C02</v>
      </c>
      <c r="E694" t="s">
        <v>1187</v>
      </c>
      <c r="F694" t="s">
        <v>956</v>
      </c>
      <c r="G694" t="s">
        <v>831</v>
      </c>
      <c r="H694">
        <v>2</v>
      </c>
      <c r="I694">
        <v>303.48</v>
      </c>
      <c r="J694">
        <v>0.2</v>
      </c>
      <c r="K694" s="3">
        <v>121.392</v>
      </c>
      <c r="L694">
        <v>485.56800000000004</v>
      </c>
      <c r="M694">
        <v>98.968000000000018</v>
      </c>
      <c r="N694" t="str">
        <f>"P. "&amp;(Sales__tbl[[#This Row],[product_id]]&amp;"."&amp;TEXT(Sales__tbl[[#This Row],[selling_price]],"0.00"))</f>
        <v>P. P.id01.303.48</v>
      </c>
    </row>
    <row r="695" spans="1:14" x14ac:dyDescent="0.25">
      <c r="A695">
        <v>694</v>
      </c>
      <c r="B695" s="9" t="str">
        <f>TEXT(Sales__tbl[[#This Row],[date]],"MM")</f>
        <v>01</v>
      </c>
      <c r="C695" s="13">
        <v>45662</v>
      </c>
      <c r="D695" t="str">
        <f>_xlfn.XLOOKUP(Sales__tbl[[#This Row],[customer_id]],customer_tbl[customer_id],customer_tbl[Branch_id],"Not found")</f>
        <v>C02</v>
      </c>
      <c r="E695" t="s">
        <v>990</v>
      </c>
      <c r="F695" t="s">
        <v>965</v>
      </c>
      <c r="G695" t="s">
        <v>847</v>
      </c>
      <c r="H695">
        <v>1</v>
      </c>
      <c r="I695">
        <v>168</v>
      </c>
      <c r="J695">
        <v>0.1</v>
      </c>
      <c r="K695" s="3">
        <v>16.799999999999983</v>
      </c>
      <c r="L695">
        <v>151.20000000000002</v>
      </c>
      <c r="M695">
        <v>29.460000000000022</v>
      </c>
      <c r="N695" t="str">
        <f>"P. "&amp;(Sales__tbl[[#This Row],[product_id]]&amp;"."&amp;TEXT(Sales__tbl[[#This Row],[selling_price]],"0.00"))</f>
        <v>P. P.id10.168.00</v>
      </c>
    </row>
    <row r="696" spans="1:14" x14ac:dyDescent="0.25">
      <c r="A696">
        <v>695</v>
      </c>
      <c r="B696" s="9" t="str">
        <f>TEXT(Sales__tbl[[#This Row],[date]],"MM")</f>
        <v>01</v>
      </c>
      <c r="C696" s="13">
        <v>45663</v>
      </c>
      <c r="D696" t="str">
        <f>_xlfn.XLOOKUP(Sales__tbl[[#This Row],[customer_id]],customer_tbl[customer_id],customer_tbl[Branch_id],"Not found")</f>
        <v>S02</v>
      </c>
      <c r="E696" t="s">
        <v>1115</v>
      </c>
      <c r="F696" t="s">
        <v>967</v>
      </c>
      <c r="G696" t="s">
        <v>872</v>
      </c>
      <c r="H696">
        <v>2</v>
      </c>
      <c r="I696">
        <v>91.73</v>
      </c>
      <c r="J696">
        <v>0.1</v>
      </c>
      <c r="K696" s="3">
        <v>18.346000000000004</v>
      </c>
      <c r="L696">
        <v>165.114</v>
      </c>
      <c r="M696">
        <v>12.234000000000009</v>
      </c>
      <c r="N696" t="str">
        <f>"P. "&amp;(Sales__tbl[[#This Row],[product_id]]&amp;"."&amp;TEXT(Sales__tbl[[#This Row],[selling_price]],"0.00"))</f>
        <v>P. P.id12.91.73</v>
      </c>
    </row>
    <row r="697" spans="1:14" x14ac:dyDescent="0.25">
      <c r="A697">
        <v>696</v>
      </c>
      <c r="B697" s="9" t="str">
        <f>TEXT(Sales__tbl[[#This Row],[date]],"MM")</f>
        <v>01</v>
      </c>
      <c r="C697" s="13">
        <v>45664</v>
      </c>
      <c r="D697" t="str">
        <f>_xlfn.XLOOKUP(Sales__tbl[[#This Row],[customer_id]],customer_tbl[customer_id],customer_tbl[Branch_id],"Not found")</f>
        <v>E01</v>
      </c>
      <c r="E697" t="s">
        <v>1028</v>
      </c>
      <c r="F697" t="s">
        <v>963</v>
      </c>
      <c r="G697" t="s">
        <v>942</v>
      </c>
      <c r="H697">
        <v>1</v>
      </c>
      <c r="I697">
        <v>274.16000000000003</v>
      </c>
      <c r="J697">
        <v>0.1</v>
      </c>
      <c r="K697" s="3">
        <v>27.415999999999997</v>
      </c>
      <c r="L697">
        <v>246.74400000000003</v>
      </c>
      <c r="M697">
        <v>56.354000000000042</v>
      </c>
      <c r="N697" t="str">
        <f>"P. "&amp;(Sales__tbl[[#This Row],[product_id]]&amp;"."&amp;TEXT(Sales__tbl[[#This Row],[selling_price]],"0.00"))</f>
        <v>P. P.id08.274.16</v>
      </c>
    </row>
    <row r="698" spans="1:14" x14ac:dyDescent="0.25">
      <c r="A698">
        <v>697</v>
      </c>
      <c r="B698" s="9" t="str">
        <f>TEXT(Sales__tbl[[#This Row],[date]],"MM")</f>
        <v>01</v>
      </c>
      <c r="C698" s="13">
        <v>45665</v>
      </c>
      <c r="D698" t="str">
        <f>_xlfn.XLOOKUP(Sales__tbl[[#This Row],[customer_id]],customer_tbl[customer_id],customer_tbl[Branch_id],"Not found")</f>
        <v>S01</v>
      </c>
      <c r="E698" t="s">
        <v>1001</v>
      </c>
      <c r="F698" t="s">
        <v>957</v>
      </c>
      <c r="G698" t="s">
        <v>833</v>
      </c>
      <c r="H698">
        <v>1</v>
      </c>
      <c r="I698">
        <v>55.26</v>
      </c>
      <c r="J698">
        <v>0</v>
      </c>
      <c r="K698" s="3">
        <v>0</v>
      </c>
      <c r="L698">
        <v>55.26</v>
      </c>
      <c r="M698">
        <v>19.839999999999996</v>
      </c>
      <c r="N698" t="str">
        <f>"P. "&amp;(Sales__tbl[[#This Row],[product_id]]&amp;"."&amp;TEXT(Sales__tbl[[#This Row],[selling_price]],"0.00"))</f>
        <v>P. P.id02.55.26</v>
      </c>
    </row>
    <row r="699" spans="1:14" x14ac:dyDescent="0.25">
      <c r="A699">
        <v>698</v>
      </c>
      <c r="B699" s="9" t="str">
        <f>TEXT(Sales__tbl[[#This Row],[date]],"MM")</f>
        <v>01</v>
      </c>
      <c r="C699" s="13">
        <v>45666</v>
      </c>
      <c r="D699" t="str">
        <f>_xlfn.XLOOKUP(Sales__tbl[[#This Row],[customer_id]],customer_tbl[customer_id],customer_tbl[Branch_id],"Not found")</f>
        <v>W01</v>
      </c>
      <c r="E699" t="s">
        <v>995</v>
      </c>
      <c r="F699" t="s">
        <v>960</v>
      </c>
      <c r="G699" t="s">
        <v>839</v>
      </c>
      <c r="H699">
        <v>1</v>
      </c>
      <c r="I699">
        <v>165.45</v>
      </c>
      <c r="J699">
        <v>0.1</v>
      </c>
      <c r="K699" s="3">
        <v>16.544999999999987</v>
      </c>
      <c r="L699">
        <v>148.905</v>
      </c>
      <c r="M699">
        <v>25.435000000000002</v>
      </c>
      <c r="N699" t="str">
        <f>"P. "&amp;(Sales__tbl[[#This Row],[product_id]]&amp;"."&amp;TEXT(Sales__tbl[[#This Row],[selling_price]],"0.00"))</f>
        <v>P. P.id05.165.45</v>
      </c>
    </row>
    <row r="700" spans="1:14" x14ac:dyDescent="0.25">
      <c r="A700">
        <v>699</v>
      </c>
      <c r="B700" s="9" t="str">
        <f>TEXT(Sales__tbl[[#This Row],[date]],"MM")</f>
        <v>01</v>
      </c>
      <c r="C700" s="13">
        <v>45667</v>
      </c>
      <c r="D700" t="str">
        <f>_xlfn.XLOOKUP(Sales__tbl[[#This Row],[customer_id]],customer_tbl[customer_id],customer_tbl[Branch_id],"Not found")</f>
        <v>W02</v>
      </c>
      <c r="E700" t="s">
        <v>1101</v>
      </c>
      <c r="F700" t="s">
        <v>961</v>
      </c>
      <c r="G700" t="s">
        <v>940</v>
      </c>
      <c r="H700">
        <v>2</v>
      </c>
      <c r="I700">
        <v>66.790000000000006</v>
      </c>
      <c r="J700">
        <v>0</v>
      </c>
      <c r="K700" s="3">
        <v>0</v>
      </c>
      <c r="L700">
        <v>133.58000000000001</v>
      </c>
      <c r="M700">
        <v>45.700000000000017</v>
      </c>
      <c r="N700" t="str">
        <f>"P. "&amp;(Sales__tbl[[#This Row],[product_id]]&amp;"."&amp;TEXT(Sales__tbl[[#This Row],[selling_price]],"0.00"))</f>
        <v>P. P.id06.66.79</v>
      </c>
    </row>
    <row r="701" spans="1:14" x14ac:dyDescent="0.25">
      <c r="A701">
        <v>700</v>
      </c>
      <c r="B701" s="9" t="str">
        <f>TEXT(Sales__tbl[[#This Row],[date]],"MM")</f>
        <v>01</v>
      </c>
      <c r="C701" s="13">
        <v>45668</v>
      </c>
      <c r="D701" t="str">
        <f>_xlfn.XLOOKUP(Sales__tbl[[#This Row],[customer_id]],customer_tbl[customer_id],customer_tbl[Branch_id],"Not found")</f>
        <v>S01</v>
      </c>
      <c r="E701" t="s">
        <v>1160</v>
      </c>
      <c r="F701" t="s">
        <v>959</v>
      </c>
      <c r="G701" t="s">
        <v>837</v>
      </c>
      <c r="H701">
        <v>1</v>
      </c>
      <c r="I701">
        <v>11.53</v>
      </c>
      <c r="J701">
        <v>0</v>
      </c>
      <c r="K701" s="3">
        <v>0</v>
      </c>
      <c r="L701">
        <v>11.53</v>
      </c>
      <c r="M701">
        <v>2.5199999999999996</v>
      </c>
      <c r="N701" t="str">
        <f>"P. "&amp;(Sales__tbl[[#This Row],[product_id]]&amp;"."&amp;TEXT(Sales__tbl[[#This Row],[selling_price]],"0.00"))</f>
        <v>P. P.id04.11.53</v>
      </c>
    </row>
    <row r="702" spans="1:14" x14ac:dyDescent="0.25">
      <c r="A702">
        <v>701</v>
      </c>
      <c r="B702" s="9" t="str">
        <f>TEXT(Sales__tbl[[#This Row],[date]],"MM")</f>
        <v>01</v>
      </c>
      <c r="C702" s="13">
        <v>45669</v>
      </c>
      <c r="D702" t="str">
        <f>_xlfn.XLOOKUP(Sales__tbl[[#This Row],[customer_id]],customer_tbl[customer_id],customer_tbl[Branch_id],"Not found")</f>
        <v>W01</v>
      </c>
      <c r="E702" t="s">
        <v>1087</v>
      </c>
      <c r="F702" t="s">
        <v>965</v>
      </c>
      <c r="G702" t="s">
        <v>847</v>
      </c>
      <c r="H702">
        <v>2</v>
      </c>
      <c r="I702">
        <v>168</v>
      </c>
      <c r="J702">
        <v>0.15</v>
      </c>
      <c r="K702" s="3">
        <v>50.400000000000034</v>
      </c>
      <c r="L702">
        <v>285.59999999999997</v>
      </c>
      <c r="M702">
        <v>42.119999999999976</v>
      </c>
      <c r="N702" t="str">
        <f>"P. "&amp;(Sales__tbl[[#This Row],[product_id]]&amp;"."&amp;TEXT(Sales__tbl[[#This Row],[selling_price]],"0.00"))</f>
        <v>P. P.id10.168.00</v>
      </c>
    </row>
    <row r="703" spans="1:14" x14ac:dyDescent="0.25">
      <c r="A703">
        <v>702</v>
      </c>
      <c r="B703" s="9" t="str">
        <f>TEXT(Sales__tbl[[#This Row],[date]],"MM")</f>
        <v>01</v>
      </c>
      <c r="C703" s="13">
        <v>45670</v>
      </c>
      <c r="D703" t="str">
        <f>_xlfn.XLOOKUP(Sales__tbl[[#This Row],[customer_id]],customer_tbl[customer_id],customer_tbl[Branch_id],"Not found")</f>
        <v>E02</v>
      </c>
      <c r="E703" t="s">
        <v>1109</v>
      </c>
      <c r="F703" t="s">
        <v>962</v>
      </c>
      <c r="G703" t="s">
        <v>941</v>
      </c>
      <c r="H703">
        <v>1</v>
      </c>
      <c r="I703">
        <v>259.11</v>
      </c>
      <c r="J703">
        <v>0.1</v>
      </c>
      <c r="K703" s="3">
        <v>25.911000000000001</v>
      </c>
      <c r="L703">
        <v>233.19900000000001</v>
      </c>
      <c r="M703">
        <v>59.299000000000007</v>
      </c>
      <c r="N703" t="str">
        <f>"P. "&amp;(Sales__tbl[[#This Row],[product_id]]&amp;"."&amp;TEXT(Sales__tbl[[#This Row],[selling_price]],"0.00"))</f>
        <v>P. P.id07.259.11</v>
      </c>
    </row>
    <row r="704" spans="1:14" x14ac:dyDescent="0.25">
      <c r="A704">
        <v>703</v>
      </c>
      <c r="B704" s="9" t="str">
        <f>TEXT(Sales__tbl[[#This Row],[date]],"MM")</f>
        <v>01</v>
      </c>
      <c r="C704" s="13">
        <v>45671</v>
      </c>
      <c r="D704" t="str">
        <f>_xlfn.XLOOKUP(Sales__tbl[[#This Row],[customer_id]],customer_tbl[customer_id],customer_tbl[Branch_id],"Not found")</f>
        <v>W02</v>
      </c>
      <c r="E704" t="s">
        <v>1186</v>
      </c>
      <c r="F704" t="s">
        <v>959</v>
      </c>
      <c r="G704" t="s">
        <v>837</v>
      </c>
      <c r="H704">
        <v>1</v>
      </c>
      <c r="I704">
        <v>11.53</v>
      </c>
      <c r="J704">
        <v>0</v>
      </c>
      <c r="K704" s="3">
        <v>0</v>
      </c>
      <c r="L704">
        <v>11.53</v>
      </c>
      <c r="M704">
        <v>2.5199999999999996</v>
      </c>
      <c r="N704" t="str">
        <f>"P. "&amp;(Sales__tbl[[#This Row],[product_id]]&amp;"."&amp;TEXT(Sales__tbl[[#This Row],[selling_price]],"0.00"))</f>
        <v>P. P.id04.11.53</v>
      </c>
    </row>
    <row r="705" spans="1:14" x14ac:dyDescent="0.25">
      <c r="A705">
        <v>704</v>
      </c>
      <c r="B705" s="9" t="str">
        <f>TEXT(Sales__tbl[[#This Row],[date]],"MM")</f>
        <v>01</v>
      </c>
      <c r="C705" s="13">
        <v>45672</v>
      </c>
      <c r="D705" t="str">
        <f>_xlfn.XLOOKUP(Sales__tbl[[#This Row],[customer_id]],customer_tbl[customer_id],customer_tbl[Branch_id],"Not found")</f>
        <v>N02</v>
      </c>
      <c r="E705" t="s">
        <v>1141</v>
      </c>
      <c r="F705" t="s">
        <v>958</v>
      </c>
      <c r="G705" t="s">
        <v>939</v>
      </c>
      <c r="H705">
        <v>2</v>
      </c>
      <c r="I705">
        <v>90.53</v>
      </c>
      <c r="J705">
        <v>0.1</v>
      </c>
      <c r="K705" s="3">
        <v>18.105999999999995</v>
      </c>
      <c r="L705">
        <v>162.95400000000001</v>
      </c>
      <c r="M705">
        <v>6.8739999999999952</v>
      </c>
      <c r="N705" t="str">
        <f>"P. "&amp;(Sales__tbl[[#This Row],[product_id]]&amp;"."&amp;TEXT(Sales__tbl[[#This Row],[selling_price]],"0.00"))</f>
        <v>P. P.id03.90.53</v>
      </c>
    </row>
    <row r="706" spans="1:14" x14ac:dyDescent="0.25">
      <c r="A706">
        <v>705</v>
      </c>
      <c r="B706" s="9" t="str">
        <f>TEXT(Sales__tbl[[#This Row],[date]],"MM")</f>
        <v>01</v>
      </c>
      <c r="C706" s="13">
        <v>45673</v>
      </c>
      <c r="D706" t="str">
        <f>_xlfn.XLOOKUP(Sales__tbl[[#This Row],[customer_id]],customer_tbl[customer_id],customer_tbl[Branch_id],"Not found")</f>
        <v>E02</v>
      </c>
      <c r="E706" t="s">
        <v>1193</v>
      </c>
      <c r="F706" t="s">
        <v>961</v>
      </c>
      <c r="G706" t="s">
        <v>940</v>
      </c>
      <c r="H706">
        <v>1</v>
      </c>
      <c r="I706">
        <v>66.790000000000006</v>
      </c>
      <c r="J706">
        <v>0</v>
      </c>
      <c r="K706" s="3">
        <v>0</v>
      </c>
      <c r="L706">
        <v>66.790000000000006</v>
      </c>
      <c r="M706">
        <v>22.850000000000009</v>
      </c>
      <c r="N706" t="str">
        <f>"P. "&amp;(Sales__tbl[[#This Row],[product_id]]&amp;"."&amp;TEXT(Sales__tbl[[#This Row],[selling_price]],"0.00"))</f>
        <v>P. P.id06.66.79</v>
      </c>
    </row>
    <row r="707" spans="1:14" x14ac:dyDescent="0.25">
      <c r="A707">
        <v>706</v>
      </c>
      <c r="B707" s="9" t="str">
        <f>TEXT(Sales__tbl[[#This Row],[date]],"MM")</f>
        <v>01</v>
      </c>
      <c r="C707" s="13">
        <v>45674</v>
      </c>
      <c r="D707" t="str">
        <f>_xlfn.XLOOKUP(Sales__tbl[[#This Row],[customer_id]],customer_tbl[customer_id],customer_tbl[Branch_id],"Not found")</f>
        <v>E02</v>
      </c>
      <c r="E707" t="s">
        <v>1128</v>
      </c>
      <c r="F707" t="s">
        <v>961</v>
      </c>
      <c r="G707" t="s">
        <v>940</v>
      </c>
      <c r="H707">
        <v>1</v>
      </c>
      <c r="I707">
        <v>66.790000000000006</v>
      </c>
      <c r="J707">
        <v>0</v>
      </c>
      <c r="K707" s="3">
        <v>0</v>
      </c>
      <c r="L707">
        <v>66.790000000000006</v>
      </c>
      <c r="M707">
        <v>22.850000000000009</v>
      </c>
      <c r="N707" t="str">
        <f>"P. "&amp;(Sales__tbl[[#This Row],[product_id]]&amp;"."&amp;TEXT(Sales__tbl[[#This Row],[selling_price]],"0.00"))</f>
        <v>P. P.id06.66.79</v>
      </c>
    </row>
    <row r="708" spans="1:14" x14ac:dyDescent="0.25">
      <c r="A708">
        <v>707</v>
      </c>
      <c r="B708" s="9" t="str">
        <f>TEXT(Sales__tbl[[#This Row],[date]],"MM")</f>
        <v>01</v>
      </c>
      <c r="C708" s="13">
        <v>45675</v>
      </c>
      <c r="D708" t="str">
        <f>_xlfn.XLOOKUP(Sales__tbl[[#This Row],[customer_id]],customer_tbl[customer_id],customer_tbl[Branch_id],"Not found")</f>
        <v>C01</v>
      </c>
      <c r="E708" t="s">
        <v>1055</v>
      </c>
      <c r="F708" t="s">
        <v>957</v>
      </c>
      <c r="G708" t="s">
        <v>833</v>
      </c>
      <c r="H708">
        <v>1</v>
      </c>
      <c r="I708">
        <v>55.26</v>
      </c>
      <c r="J708">
        <v>0</v>
      </c>
      <c r="K708" s="3">
        <v>0</v>
      </c>
      <c r="L708">
        <v>55.26</v>
      </c>
      <c r="M708">
        <v>19.839999999999996</v>
      </c>
      <c r="N708" t="str">
        <f>"P. "&amp;(Sales__tbl[[#This Row],[product_id]]&amp;"."&amp;TEXT(Sales__tbl[[#This Row],[selling_price]],"0.00"))</f>
        <v>P. P.id02.55.26</v>
      </c>
    </row>
    <row r="709" spans="1:14" x14ac:dyDescent="0.25">
      <c r="A709">
        <v>708</v>
      </c>
      <c r="B709" s="9" t="str">
        <f>TEXT(Sales__tbl[[#This Row],[date]],"MM")</f>
        <v>01</v>
      </c>
      <c r="C709" s="13">
        <v>45676</v>
      </c>
      <c r="D709" t="str">
        <f>_xlfn.XLOOKUP(Sales__tbl[[#This Row],[customer_id]],customer_tbl[customer_id],customer_tbl[Branch_id],"Not found")</f>
        <v>N01</v>
      </c>
      <c r="E709" t="s">
        <v>1061</v>
      </c>
      <c r="F709" t="s">
        <v>961</v>
      </c>
      <c r="G709" t="s">
        <v>940</v>
      </c>
      <c r="H709">
        <v>1</v>
      </c>
      <c r="I709">
        <v>66.790000000000006</v>
      </c>
      <c r="J709">
        <v>0</v>
      </c>
      <c r="K709" s="3">
        <v>0</v>
      </c>
      <c r="L709">
        <v>66.790000000000006</v>
      </c>
      <c r="M709">
        <v>22.850000000000009</v>
      </c>
      <c r="N709" t="str">
        <f>"P. "&amp;(Sales__tbl[[#This Row],[product_id]]&amp;"."&amp;TEXT(Sales__tbl[[#This Row],[selling_price]],"0.00"))</f>
        <v>P. P.id06.66.79</v>
      </c>
    </row>
    <row r="710" spans="1:14" x14ac:dyDescent="0.25">
      <c r="A710">
        <v>709</v>
      </c>
      <c r="B710" s="9" t="str">
        <f>TEXT(Sales__tbl[[#This Row],[date]],"MM")</f>
        <v>01</v>
      </c>
      <c r="C710" s="13">
        <v>45677</v>
      </c>
      <c r="D710" t="str">
        <f>_xlfn.XLOOKUP(Sales__tbl[[#This Row],[customer_id]],customer_tbl[customer_id],customer_tbl[Branch_id],"Not found")</f>
        <v>E02</v>
      </c>
      <c r="E710" t="s">
        <v>1158</v>
      </c>
      <c r="F710" t="s">
        <v>961</v>
      </c>
      <c r="G710" t="s">
        <v>940</v>
      </c>
      <c r="H710">
        <v>1</v>
      </c>
      <c r="I710">
        <v>66.790000000000006</v>
      </c>
      <c r="J710">
        <v>0</v>
      </c>
      <c r="K710" s="3">
        <v>0</v>
      </c>
      <c r="L710">
        <v>66.790000000000006</v>
      </c>
      <c r="M710">
        <v>22.850000000000009</v>
      </c>
      <c r="N710" t="str">
        <f>"P. "&amp;(Sales__tbl[[#This Row],[product_id]]&amp;"."&amp;TEXT(Sales__tbl[[#This Row],[selling_price]],"0.00"))</f>
        <v>P. P.id06.66.79</v>
      </c>
    </row>
    <row r="711" spans="1:14" x14ac:dyDescent="0.25">
      <c r="A711">
        <v>710</v>
      </c>
      <c r="B711" s="9" t="str">
        <f>TEXT(Sales__tbl[[#This Row],[date]],"MM")</f>
        <v>01</v>
      </c>
      <c r="C711" s="13">
        <v>45678</v>
      </c>
      <c r="D711" t="str">
        <f>_xlfn.XLOOKUP(Sales__tbl[[#This Row],[customer_id]],customer_tbl[customer_id],customer_tbl[Branch_id],"Not found")</f>
        <v>S02</v>
      </c>
      <c r="E711" t="s">
        <v>1115</v>
      </c>
      <c r="F711" t="s">
        <v>965</v>
      </c>
      <c r="G711" t="s">
        <v>847</v>
      </c>
      <c r="H711">
        <v>1</v>
      </c>
      <c r="I711">
        <v>168</v>
      </c>
      <c r="J711">
        <v>0.1</v>
      </c>
      <c r="K711" s="3">
        <v>16.799999999999983</v>
      </c>
      <c r="L711">
        <v>151.20000000000002</v>
      </c>
      <c r="M711">
        <v>29.460000000000022</v>
      </c>
      <c r="N711" t="str">
        <f>"P. "&amp;(Sales__tbl[[#This Row],[product_id]]&amp;"."&amp;TEXT(Sales__tbl[[#This Row],[selling_price]],"0.00"))</f>
        <v>P. P.id10.168.00</v>
      </c>
    </row>
    <row r="712" spans="1:14" x14ac:dyDescent="0.25">
      <c r="A712">
        <v>711</v>
      </c>
      <c r="B712" s="9" t="str">
        <f>TEXT(Sales__tbl[[#This Row],[date]],"MM")</f>
        <v>01</v>
      </c>
      <c r="C712" s="13">
        <v>45679</v>
      </c>
      <c r="D712" t="str">
        <f>_xlfn.XLOOKUP(Sales__tbl[[#This Row],[customer_id]],customer_tbl[customer_id],customer_tbl[Branch_id],"Not found")</f>
        <v>S02</v>
      </c>
      <c r="E712" t="s">
        <v>1115</v>
      </c>
      <c r="F712" t="s">
        <v>959</v>
      </c>
      <c r="G712" t="s">
        <v>837</v>
      </c>
      <c r="H712">
        <v>1</v>
      </c>
      <c r="I712">
        <v>11.53</v>
      </c>
      <c r="J712">
        <v>0</v>
      </c>
      <c r="K712" s="3">
        <v>0</v>
      </c>
      <c r="L712">
        <v>11.53</v>
      </c>
      <c r="M712">
        <v>2.5199999999999996</v>
      </c>
      <c r="N712" t="str">
        <f>"P. "&amp;(Sales__tbl[[#This Row],[product_id]]&amp;"."&amp;TEXT(Sales__tbl[[#This Row],[selling_price]],"0.00"))</f>
        <v>P. P.id04.11.53</v>
      </c>
    </row>
    <row r="713" spans="1:14" x14ac:dyDescent="0.25">
      <c r="A713">
        <v>712</v>
      </c>
      <c r="B713" s="9" t="str">
        <f>TEXT(Sales__tbl[[#This Row],[date]],"MM")</f>
        <v>01</v>
      </c>
      <c r="C713" s="13">
        <v>45680</v>
      </c>
      <c r="D713" t="str">
        <f>_xlfn.XLOOKUP(Sales__tbl[[#This Row],[customer_id]],customer_tbl[customer_id],customer_tbl[Branch_id],"Not found")</f>
        <v>W02</v>
      </c>
      <c r="E713" t="s">
        <v>1194</v>
      </c>
      <c r="F713" t="s">
        <v>956</v>
      </c>
      <c r="G713" t="s">
        <v>831</v>
      </c>
      <c r="H713">
        <v>1</v>
      </c>
      <c r="I713">
        <v>303.48</v>
      </c>
      <c r="J713">
        <v>0.15</v>
      </c>
      <c r="K713" s="3">
        <v>45.521999999999991</v>
      </c>
      <c r="L713">
        <v>257.95800000000003</v>
      </c>
      <c r="M713">
        <v>64.658000000000015</v>
      </c>
      <c r="N713" t="str">
        <f>"P. "&amp;(Sales__tbl[[#This Row],[product_id]]&amp;"."&amp;TEXT(Sales__tbl[[#This Row],[selling_price]],"0.00"))</f>
        <v>P. P.id01.303.48</v>
      </c>
    </row>
    <row r="714" spans="1:14" x14ac:dyDescent="0.25">
      <c r="A714">
        <v>713</v>
      </c>
      <c r="B714" s="9" t="str">
        <f>TEXT(Sales__tbl[[#This Row],[date]],"MM")</f>
        <v>01</v>
      </c>
      <c r="C714" s="13">
        <v>45681</v>
      </c>
      <c r="D714" t="str">
        <f>_xlfn.XLOOKUP(Sales__tbl[[#This Row],[customer_id]],customer_tbl[customer_id],customer_tbl[Branch_id],"Not found")</f>
        <v>E02</v>
      </c>
      <c r="E714" t="s">
        <v>988</v>
      </c>
      <c r="F714" t="s">
        <v>961</v>
      </c>
      <c r="G714" t="s">
        <v>940</v>
      </c>
      <c r="H714">
        <v>2</v>
      </c>
      <c r="I714">
        <v>66.790000000000006</v>
      </c>
      <c r="J714">
        <v>0</v>
      </c>
      <c r="K714" s="3">
        <v>0</v>
      </c>
      <c r="L714">
        <v>133.58000000000001</v>
      </c>
      <c r="M714">
        <v>45.700000000000017</v>
      </c>
      <c r="N714" t="str">
        <f>"P. "&amp;(Sales__tbl[[#This Row],[product_id]]&amp;"."&amp;TEXT(Sales__tbl[[#This Row],[selling_price]],"0.00"))</f>
        <v>P. P.id06.66.79</v>
      </c>
    </row>
    <row r="715" spans="1:14" x14ac:dyDescent="0.25">
      <c r="A715">
        <v>714</v>
      </c>
      <c r="B715" s="9" t="str">
        <f>TEXT(Sales__tbl[[#This Row],[date]],"MM")</f>
        <v>01</v>
      </c>
      <c r="C715" s="13">
        <v>45682</v>
      </c>
      <c r="D715" t="str">
        <f>_xlfn.XLOOKUP(Sales__tbl[[#This Row],[customer_id]],customer_tbl[customer_id],customer_tbl[Branch_id],"Not found")</f>
        <v>E01</v>
      </c>
      <c r="E715" t="s">
        <v>1047</v>
      </c>
      <c r="F715" t="s">
        <v>960</v>
      </c>
      <c r="G715" t="s">
        <v>839</v>
      </c>
      <c r="H715">
        <v>2</v>
      </c>
      <c r="I715">
        <v>165.45</v>
      </c>
      <c r="J715">
        <v>0.15</v>
      </c>
      <c r="K715" s="3">
        <v>49.634999999999991</v>
      </c>
      <c r="L715">
        <v>281.26499999999999</v>
      </c>
      <c r="M715">
        <v>34.324999999999989</v>
      </c>
      <c r="N715" t="str">
        <f>"P. "&amp;(Sales__tbl[[#This Row],[product_id]]&amp;"."&amp;TEXT(Sales__tbl[[#This Row],[selling_price]],"0.00"))</f>
        <v>P. P.id05.165.45</v>
      </c>
    </row>
    <row r="716" spans="1:14" x14ac:dyDescent="0.25">
      <c r="A716">
        <v>715</v>
      </c>
      <c r="B716" s="9" t="str">
        <f>TEXT(Sales__tbl[[#This Row],[date]],"MM")</f>
        <v>01</v>
      </c>
      <c r="C716" s="13">
        <v>45683</v>
      </c>
      <c r="D716" t="str">
        <f>_xlfn.XLOOKUP(Sales__tbl[[#This Row],[customer_id]],customer_tbl[customer_id],customer_tbl[Branch_id],"Not found")</f>
        <v>N01</v>
      </c>
      <c r="E716" t="s">
        <v>1016</v>
      </c>
      <c r="F716" t="s">
        <v>958</v>
      </c>
      <c r="G716" t="s">
        <v>939</v>
      </c>
      <c r="H716">
        <v>1</v>
      </c>
      <c r="I716">
        <v>90.53</v>
      </c>
      <c r="J716">
        <v>0</v>
      </c>
      <c r="K716" s="3">
        <v>0</v>
      </c>
      <c r="L716">
        <v>90.53</v>
      </c>
      <c r="M716">
        <v>12.489999999999995</v>
      </c>
      <c r="N716" t="str">
        <f>"P. "&amp;(Sales__tbl[[#This Row],[product_id]]&amp;"."&amp;TEXT(Sales__tbl[[#This Row],[selling_price]],"0.00"))</f>
        <v>P. P.id03.90.53</v>
      </c>
    </row>
    <row r="717" spans="1:14" x14ac:dyDescent="0.25">
      <c r="A717">
        <v>716</v>
      </c>
      <c r="B717" s="9" t="str">
        <f>TEXT(Sales__tbl[[#This Row],[date]],"MM")</f>
        <v>01</v>
      </c>
      <c r="C717" s="13">
        <v>45684</v>
      </c>
      <c r="D717" t="str">
        <f>_xlfn.XLOOKUP(Sales__tbl[[#This Row],[customer_id]],customer_tbl[customer_id],customer_tbl[Branch_id],"Not found")</f>
        <v>E02</v>
      </c>
      <c r="E717" t="s">
        <v>1144</v>
      </c>
      <c r="F717" t="s">
        <v>960</v>
      </c>
      <c r="G717" t="s">
        <v>839</v>
      </c>
      <c r="H717">
        <v>1</v>
      </c>
      <c r="I717">
        <v>165.45</v>
      </c>
      <c r="J717">
        <v>0.1</v>
      </c>
      <c r="K717" s="3">
        <v>16.544999999999987</v>
      </c>
      <c r="L717">
        <v>148.905</v>
      </c>
      <c r="M717">
        <v>25.435000000000002</v>
      </c>
      <c r="N717" t="str">
        <f>"P. "&amp;(Sales__tbl[[#This Row],[product_id]]&amp;"."&amp;TEXT(Sales__tbl[[#This Row],[selling_price]],"0.00"))</f>
        <v>P. P.id05.165.45</v>
      </c>
    </row>
    <row r="718" spans="1:14" x14ac:dyDescent="0.25">
      <c r="A718">
        <v>717</v>
      </c>
      <c r="B718" s="9" t="str">
        <f>TEXT(Sales__tbl[[#This Row],[date]],"MM")</f>
        <v>01</v>
      </c>
      <c r="C718" s="13">
        <v>45685</v>
      </c>
      <c r="D718" t="str">
        <f>_xlfn.XLOOKUP(Sales__tbl[[#This Row],[customer_id]],customer_tbl[customer_id],customer_tbl[Branch_id],"Not found")</f>
        <v>W01</v>
      </c>
      <c r="E718" t="s">
        <v>1062</v>
      </c>
      <c r="F718" t="s">
        <v>960</v>
      </c>
      <c r="G718" t="s">
        <v>839</v>
      </c>
      <c r="H718">
        <v>1</v>
      </c>
      <c r="I718">
        <v>165.45</v>
      </c>
      <c r="J718">
        <v>0.1</v>
      </c>
      <c r="K718" s="3">
        <v>16.544999999999987</v>
      </c>
      <c r="L718">
        <v>148.905</v>
      </c>
      <c r="M718">
        <v>25.435000000000002</v>
      </c>
      <c r="N718" t="str">
        <f>"P. "&amp;(Sales__tbl[[#This Row],[product_id]]&amp;"."&amp;TEXT(Sales__tbl[[#This Row],[selling_price]],"0.00"))</f>
        <v>P. P.id05.165.45</v>
      </c>
    </row>
    <row r="719" spans="1:14" x14ac:dyDescent="0.25">
      <c r="A719">
        <v>718</v>
      </c>
      <c r="B719" s="9" t="str">
        <f>TEXT(Sales__tbl[[#This Row],[date]],"MM")</f>
        <v>01</v>
      </c>
      <c r="C719" s="13">
        <v>45686</v>
      </c>
      <c r="D719" t="str">
        <f>_xlfn.XLOOKUP(Sales__tbl[[#This Row],[customer_id]],customer_tbl[customer_id],customer_tbl[Branch_id],"Not found")</f>
        <v>C01</v>
      </c>
      <c r="E719" t="s">
        <v>1010</v>
      </c>
      <c r="F719" t="s">
        <v>959</v>
      </c>
      <c r="G719" t="s">
        <v>837</v>
      </c>
      <c r="H719">
        <v>1</v>
      </c>
      <c r="I719">
        <v>11.53</v>
      </c>
      <c r="J719">
        <v>0</v>
      </c>
      <c r="K719" s="3">
        <v>0</v>
      </c>
      <c r="L719">
        <v>11.53</v>
      </c>
      <c r="M719">
        <v>2.5199999999999996</v>
      </c>
      <c r="N719" t="str">
        <f>"P. "&amp;(Sales__tbl[[#This Row],[product_id]]&amp;"."&amp;TEXT(Sales__tbl[[#This Row],[selling_price]],"0.00"))</f>
        <v>P. P.id04.11.53</v>
      </c>
    </row>
    <row r="720" spans="1:14" x14ac:dyDescent="0.25">
      <c r="A720">
        <v>719</v>
      </c>
      <c r="B720" s="9" t="str">
        <f>TEXT(Sales__tbl[[#This Row],[date]],"MM")</f>
        <v>01</v>
      </c>
      <c r="C720" s="13">
        <v>45687</v>
      </c>
      <c r="D720" t="str">
        <f>_xlfn.XLOOKUP(Sales__tbl[[#This Row],[customer_id]],customer_tbl[customer_id],customer_tbl[Branch_id],"Not found")</f>
        <v>S01</v>
      </c>
      <c r="E720" t="s">
        <v>1021</v>
      </c>
      <c r="F720" t="s">
        <v>957</v>
      </c>
      <c r="G720" t="s">
        <v>833</v>
      </c>
      <c r="H720">
        <v>1</v>
      </c>
      <c r="I720">
        <v>55.26</v>
      </c>
      <c r="J720">
        <v>0</v>
      </c>
      <c r="K720" s="3">
        <v>0</v>
      </c>
      <c r="L720">
        <v>55.26</v>
      </c>
      <c r="M720">
        <v>19.839999999999996</v>
      </c>
      <c r="N720" t="str">
        <f>"P. "&amp;(Sales__tbl[[#This Row],[product_id]]&amp;"."&amp;TEXT(Sales__tbl[[#This Row],[selling_price]],"0.00"))</f>
        <v>P. P.id02.55.26</v>
      </c>
    </row>
    <row r="721" spans="1:14" x14ac:dyDescent="0.25">
      <c r="A721">
        <v>720</v>
      </c>
      <c r="B721" s="9" t="str">
        <f>TEXT(Sales__tbl[[#This Row],[date]],"MM")</f>
        <v>01</v>
      </c>
      <c r="C721" s="13">
        <v>45688</v>
      </c>
      <c r="D721" t="str">
        <f>_xlfn.XLOOKUP(Sales__tbl[[#This Row],[customer_id]],customer_tbl[customer_id],customer_tbl[Branch_id],"Not found")</f>
        <v>W01</v>
      </c>
      <c r="E721" t="s">
        <v>1087</v>
      </c>
      <c r="F721" t="s">
        <v>957</v>
      </c>
      <c r="G721" t="s">
        <v>833</v>
      </c>
      <c r="H721">
        <v>1</v>
      </c>
      <c r="I721">
        <v>55.26</v>
      </c>
      <c r="J721">
        <v>0</v>
      </c>
      <c r="K721" s="3">
        <v>0</v>
      </c>
      <c r="L721">
        <v>55.26</v>
      </c>
      <c r="M721">
        <v>19.839999999999996</v>
      </c>
      <c r="N721" t="str">
        <f>"P. "&amp;(Sales__tbl[[#This Row],[product_id]]&amp;"."&amp;TEXT(Sales__tbl[[#This Row],[selling_price]],"0.00"))</f>
        <v>P. P.id02.55.26</v>
      </c>
    </row>
    <row r="722" spans="1:14" x14ac:dyDescent="0.25">
      <c r="A722">
        <v>721</v>
      </c>
      <c r="B722" s="9" t="str">
        <f>TEXT(Sales__tbl[[#This Row],[date]],"MM")</f>
        <v>02</v>
      </c>
      <c r="C722" s="13">
        <v>45689</v>
      </c>
      <c r="D722" t="str">
        <f>_xlfn.XLOOKUP(Sales__tbl[[#This Row],[customer_id]],customer_tbl[customer_id],customer_tbl[Branch_id],"Not found")</f>
        <v>W02</v>
      </c>
      <c r="E722" t="s">
        <v>1182</v>
      </c>
      <c r="F722" t="s">
        <v>964</v>
      </c>
      <c r="G722" t="s">
        <v>943</v>
      </c>
      <c r="H722">
        <v>3</v>
      </c>
      <c r="I722">
        <v>190.58</v>
      </c>
      <c r="J722">
        <v>0.2</v>
      </c>
      <c r="K722" s="3">
        <v>114.34799999999996</v>
      </c>
      <c r="L722">
        <v>457.39200000000005</v>
      </c>
      <c r="M722">
        <v>14.172000000000025</v>
      </c>
      <c r="N722" t="str">
        <f>"P. "&amp;(Sales__tbl[[#This Row],[product_id]]&amp;"."&amp;TEXT(Sales__tbl[[#This Row],[selling_price]],"0.00"))</f>
        <v>P. P.id09.190.58</v>
      </c>
    </row>
    <row r="723" spans="1:14" x14ac:dyDescent="0.25">
      <c r="A723">
        <v>722</v>
      </c>
      <c r="B723" s="9" t="str">
        <f>TEXT(Sales__tbl[[#This Row],[date]],"MM")</f>
        <v>02</v>
      </c>
      <c r="C723" s="13">
        <v>45690</v>
      </c>
      <c r="D723" t="str">
        <f>_xlfn.XLOOKUP(Sales__tbl[[#This Row],[customer_id]],customer_tbl[customer_id],customer_tbl[Branch_id],"Not found")</f>
        <v>S01</v>
      </c>
      <c r="E723" t="s">
        <v>1023</v>
      </c>
      <c r="F723" t="s">
        <v>957</v>
      </c>
      <c r="G723" t="s">
        <v>833</v>
      </c>
      <c r="H723">
        <v>1</v>
      </c>
      <c r="I723">
        <v>55.26</v>
      </c>
      <c r="J723">
        <v>0</v>
      </c>
      <c r="K723" s="3">
        <v>0</v>
      </c>
      <c r="L723">
        <v>55.26</v>
      </c>
      <c r="M723">
        <v>19.839999999999996</v>
      </c>
      <c r="N723" t="str">
        <f>"P. "&amp;(Sales__tbl[[#This Row],[product_id]]&amp;"."&amp;TEXT(Sales__tbl[[#This Row],[selling_price]],"0.00"))</f>
        <v>P. P.id02.55.26</v>
      </c>
    </row>
    <row r="724" spans="1:14" x14ac:dyDescent="0.25">
      <c r="A724">
        <v>723</v>
      </c>
      <c r="B724" s="9" t="str">
        <f>TEXT(Sales__tbl[[#This Row],[date]],"MM")</f>
        <v>02</v>
      </c>
      <c r="C724" s="13">
        <v>45691</v>
      </c>
      <c r="D724" t="str">
        <f>_xlfn.XLOOKUP(Sales__tbl[[#This Row],[customer_id]],customer_tbl[customer_id],customer_tbl[Branch_id],"Not found")</f>
        <v>N02</v>
      </c>
      <c r="E724" t="s">
        <v>1005</v>
      </c>
      <c r="F724" t="s">
        <v>963</v>
      </c>
      <c r="G724" t="s">
        <v>942</v>
      </c>
      <c r="H724">
        <v>3</v>
      </c>
      <c r="I724">
        <v>274.16000000000003</v>
      </c>
      <c r="J724">
        <v>0.2</v>
      </c>
      <c r="K724" s="3">
        <v>164.49599999999998</v>
      </c>
      <c r="L724">
        <v>657.98400000000004</v>
      </c>
      <c r="M724">
        <v>86.814000000000078</v>
      </c>
      <c r="N724" t="str">
        <f>"P. "&amp;(Sales__tbl[[#This Row],[product_id]]&amp;"."&amp;TEXT(Sales__tbl[[#This Row],[selling_price]],"0.00"))</f>
        <v>P. P.id08.274.16</v>
      </c>
    </row>
    <row r="725" spans="1:14" x14ac:dyDescent="0.25">
      <c r="A725">
        <v>724</v>
      </c>
      <c r="B725" s="9" t="str">
        <f>TEXT(Sales__tbl[[#This Row],[date]],"MM")</f>
        <v>02</v>
      </c>
      <c r="C725" s="13">
        <v>45692</v>
      </c>
      <c r="D725" t="str">
        <f>_xlfn.XLOOKUP(Sales__tbl[[#This Row],[customer_id]],customer_tbl[customer_id],customer_tbl[Branch_id],"Not found")</f>
        <v>S02</v>
      </c>
      <c r="E725" t="s">
        <v>1093</v>
      </c>
      <c r="F725" t="s">
        <v>964</v>
      </c>
      <c r="G725" t="s">
        <v>943</v>
      </c>
      <c r="H725">
        <v>1</v>
      </c>
      <c r="I725">
        <v>190.58</v>
      </c>
      <c r="J725">
        <v>0.1</v>
      </c>
      <c r="K725" s="3">
        <v>19.057999999999993</v>
      </c>
      <c r="L725">
        <v>171.52200000000002</v>
      </c>
      <c r="M725">
        <v>23.782000000000011</v>
      </c>
      <c r="N725" t="str">
        <f>"P. "&amp;(Sales__tbl[[#This Row],[product_id]]&amp;"."&amp;TEXT(Sales__tbl[[#This Row],[selling_price]],"0.00"))</f>
        <v>P. P.id09.190.58</v>
      </c>
    </row>
    <row r="726" spans="1:14" x14ac:dyDescent="0.25">
      <c r="A726">
        <v>725</v>
      </c>
      <c r="B726" s="9" t="str">
        <f>TEXT(Sales__tbl[[#This Row],[date]],"MM")</f>
        <v>02</v>
      </c>
      <c r="C726" s="13">
        <v>45693</v>
      </c>
      <c r="D726" t="str">
        <f>_xlfn.XLOOKUP(Sales__tbl[[#This Row],[customer_id]],customer_tbl[customer_id],customer_tbl[Branch_id],"Not found")</f>
        <v>N01</v>
      </c>
      <c r="E726" t="s">
        <v>1172</v>
      </c>
      <c r="F726" t="s">
        <v>959</v>
      </c>
      <c r="G726" t="s">
        <v>837</v>
      </c>
      <c r="H726">
        <v>1</v>
      </c>
      <c r="I726">
        <v>11.53</v>
      </c>
      <c r="J726">
        <v>0</v>
      </c>
      <c r="K726" s="3">
        <v>0</v>
      </c>
      <c r="L726">
        <v>11.53</v>
      </c>
      <c r="M726">
        <v>2.5199999999999996</v>
      </c>
      <c r="N726" t="str">
        <f>"P. "&amp;(Sales__tbl[[#This Row],[product_id]]&amp;"."&amp;TEXT(Sales__tbl[[#This Row],[selling_price]],"0.00"))</f>
        <v>P. P.id04.11.53</v>
      </c>
    </row>
    <row r="727" spans="1:14" x14ac:dyDescent="0.25">
      <c r="A727">
        <v>726</v>
      </c>
      <c r="B727" s="9" t="str">
        <f>TEXT(Sales__tbl[[#This Row],[date]],"MM")</f>
        <v>02</v>
      </c>
      <c r="C727" s="13">
        <v>45694</v>
      </c>
      <c r="D727" t="str">
        <f>_xlfn.XLOOKUP(Sales__tbl[[#This Row],[customer_id]],customer_tbl[customer_id],customer_tbl[Branch_id],"Not found")</f>
        <v>W01</v>
      </c>
      <c r="E727" t="s">
        <v>1051</v>
      </c>
      <c r="F727" t="s">
        <v>960</v>
      </c>
      <c r="G727" t="s">
        <v>839</v>
      </c>
      <c r="H727">
        <v>1</v>
      </c>
      <c r="I727">
        <v>165.45</v>
      </c>
      <c r="J727">
        <v>0.1</v>
      </c>
      <c r="K727" s="3">
        <v>16.544999999999987</v>
      </c>
      <c r="L727">
        <v>148.905</v>
      </c>
      <c r="M727">
        <v>25.435000000000002</v>
      </c>
      <c r="N727" t="str">
        <f>"P. "&amp;(Sales__tbl[[#This Row],[product_id]]&amp;"."&amp;TEXT(Sales__tbl[[#This Row],[selling_price]],"0.00"))</f>
        <v>P. P.id05.165.45</v>
      </c>
    </row>
    <row r="728" spans="1:14" x14ac:dyDescent="0.25">
      <c r="A728">
        <v>727</v>
      </c>
      <c r="B728" s="9" t="str">
        <f>TEXT(Sales__tbl[[#This Row],[date]],"MM")</f>
        <v>02</v>
      </c>
      <c r="C728" s="13">
        <v>45695</v>
      </c>
      <c r="D728" t="str">
        <f>_xlfn.XLOOKUP(Sales__tbl[[#This Row],[customer_id]],customer_tbl[customer_id],customer_tbl[Branch_id],"Not found")</f>
        <v>E01</v>
      </c>
      <c r="E728" t="s">
        <v>1050</v>
      </c>
      <c r="F728" t="s">
        <v>962</v>
      </c>
      <c r="G728" t="s">
        <v>941</v>
      </c>
      <c r="H728">
        <v>2</v>
      </c>
      <c r="I728">
        <v>259.11</v>
      </c>
      <c r="J728">
        <v>0.2</v>
      </c>
      <c r="K728" s="3">
        <v>103.64400000000001</v>
      </c>
      <c r="L728">
        <v>414.57600000000002</v>
      </c>
      <c r="M728">
        <v>66.77600000000001</v>
      </c>
      <c r="N728" t="str">
        <f>"P. "&amp;(Sales__tbl[[#This Row],[product_id]]&amp;"."&amp;TEXT(Sales__tbl[[#This Row],[selling_price]],"0.00"))</f>
        <v>P. P.id07.259.11</v>
      </c>
    </row>
    <row r="729" spans="1:14" x14ac:dyDescent="0.25">
      <c r="A729">
        <v>728</v>
      </c>
      <c r="B729" s="9" t="str">
        <f>TEXT(Sales__tbl[[#This Row],[date]],"MM")</f>
        <v>02</v>
      </c>
      <c r="C729" s="13">
        <v>45696</v>
      </c>
      <c r="D729" t="str">
        <f>_xlfn.XLOOKUP(Sales__tbl[[#This Row],[customer_id]],customer_tbl[customer_id],customer_tbl[Branch_id],"Not found")</f>
        <v>E02</v>
      </c>
      <c r="E729" t="s">
        <v>1109</v>
      </c>
      <c r="F729" t="s">
        <v>960</v>
      </c>
      <c r="G729" t="s">
        <v>839</v>
      </c>
      <c r="H729">
        <v>1</v>
      </c>
      <c r="I729">
        <v>165.45</v>
      </c>
      <c r="J729">
        <v>0.1</v>
      </c>
      <c r="K729" s="3">
        <v>16.544999999999987</v>
      </c>
      <c r="L729">
        <v>148.905</v>
      </c>
      <c r="M729">
        <v>25.435000000000002</v>
      </c>
      <c r="N729" t="str">
        <f>"P. "&amp;(Sales__tbl[[#This Row],[product_id]]&amp;"."&amp;TEXT(Sales__tbl[[#This Row],[selling_price]],"0.00"))</f>
        <v>P. P.id05.165.45</v>
      </c>
    </row>
    <row r="730" spans="1:14" x14ac:dyDescent="0.25">
      <c r="A730">
        <v>729</v>
      </c>
      <c r="B730" s="9" t="str">
        <f>TEXT(Sales__tbl[[#This Row],[date]],"MM")</f>
        <v>02</v>
      </c>
      <c r="C730" s="13">
        <v>45697</v>
      </c>
      <c r="D730" t="str">
        <f>_xlfn.XLOOKUP(Sales__tbl[[#This Row],[customer_id]],customer_tbl[customer_id],customer_tbl[Branch_id],"Not found")</f>
        <v>C01</v>
      </c>
      <c r="E730" t="s">
        <v>1006</v>
      </c>
      <c r="F730" t="s">
        <v>958</v>
      </c>
      <c r="G730" t="s">
        <v>939</v>
      </c>
      <c r="H730">
        <v>2</v>
      </c>
      <c r="I730">
        <v>90.53</v>
      </c>
      <c r="J730">
        <v>0.1</v>
      </c>
      <c r="K730" s="3">
        <v>18.105999999999995</v>
      </c>
      <c r="L730">
        <v>162.95400000000001</v>
      </c>
      <c r="M730">
        <v>6.8739999999999952</v>
      </c>
      <c r="N730" t="str">
        <f>"P. "&amp;(Sales__tbl[[#This Row],[product_id]]&amp;"."&amp;TEXT(Sales__tbl[[#This Row],[selling_price]],"0.00"))</f>
        <v>P. P.id03.90.53</v>
      </c>
    </row>
    <row r="731" spans="1:14" x14ac:dyDescent="0.25">
      <c r="A731">
        <v>730</v>
      </c>
      <c r="B731" s="9" t="str">
        <f>TEXT(Sales__tbl[[#This Row],[date]],"MM")</f>
        <v>02</v>
      </c>
      <c r="C731" s="13">
        <v>45698</v>
      </c>
      <c r="D731" t="str">
        <f>_xlfn.XLOOKUP(Sales__tbl[[#This Row],[customer_id]],customer_tbl[customer_id],customer_tbl[Branch_id],"Not found")</f>
        <v>E02</v>
      </c>
      <c r="E731" t="s">
        <v>1118</v>
      </c>
      <c r="F731" t="s">
        <v>962</v>
      </c>
      <c r="G731" t="s">
        <v>941</v>
      </c>
      <c r="H731">
        <v>1</v>
      </c>
      <c r="I731">
        <v>259.11</v>
      </c>
      <c r="J731">
        <v>0.1</v>
      </c>
      <c r="K731" s="3">
        <v>25.911000000000001</v>
      </c>
      <c r="L731">
        <v>233.19900000000001</v>
      </c>
      <c r="M731">
        <v>59.299000000000007</v>
      </c>
      <c r="N731" t="str">
        <f>"P. "&amp;(Sales__tbl[[#This Row],[product_id]]&amp;"."&amp;TEXT(Sales__tbl[[#This Row],[selling_price]],"0.00"))</f>
        <v>P. P.id07.259.11</v>
      </c>
    </row>
    <row r="732" spans="1:14" x14ac:dyDescent="0.25">
      <c r="A732">
        <v>731</v>
      </c>
      <c r="B732" s="9" t="str">
        <f>TEXT(Sales__tbl[[#This Row],[date]],"MM")</f>
        <v>02</v>
      </c>
      <c r="C732" s="13">
        <v>45699</v>
      </c>
      <c r="D732" t="str">
        <f>_xlfn.XLOOKUP(Sales__tbl[[#This Row],[customer_id]],customer_tbl[customer_id],customer_tbl[Branch_id],"Not found")</f>
        <v>N01</v>
      </c>
      <c r="E732" t="s">
        <v>1030</v>
      </c>
      <c r="F732" t="s">
        <v>959</v>
      </c>
      <c r="G732" t="s">
        <v>837</v>
      </c>
      <c r="H732">
        <v>1</v>
      </c>
      <c r="I732">
        <v>11.53</v>
      </c>
      <c r="J732">
        <v>0</v>
      </c>
      <c r="K732" s="3">
        <v>0</v>
      </c>
      <c r="L732">
        <v>11.53</v>
      </c>
      <c r="M732">
        <v>2.5199999999999996</v>
      </c>
      <c r="N732" t="str">
        <f>"P. "&amp;(Sales__tbl[[#This Row],[product_id]]&amp;"."&amp;TEXT(Sales__tbl[[#This Row],[selling_price]],"0.00"))</f>
        <v>P. P.id04.11.53</v>
      </c>
    </row>
    <row r="733" spans="1:14" x14ac:dyDescent="0.25">
      <c r="A733">
        <v>732</v>
      </c>
      <c r="B733" s="9" t="str">
        <f>TEXT(Sales__tbl[[#This Row],[date]],"MM")</f>
        <v>02</v>
      </c>
      <c r="C733" s="13">
        <v>45700</v>
      </c>
      <c r="D733" t="str">
        <f>_xlfn.XLOOKUP(Sales__tbl[[#This Row],[customer_id]],customer_tbl[customer_id],customer_tbl[Branch_id],"Not found")</f>
        <v>C02</v>
      </c>
      <c r="E733" t="s">
        <v>1058</v>
      </c>
      <c r="F733" t="s">
        <v>963</v>
      </c>
      <c r="G733" t="s">
        <v>942</v>
      </c>
      <c r="H733">
        <v>1</v>
      </c>
      <c r="I733">
        <v>274.16000000000003</v>
      </c>
      <c r="J733">
        <v>0.1</v>
      </c>
      <c r="K733" s="3">
        <v>27.415999999999997</v>
      </c>
      <c r="L733">
        <v>246.74400000000003</v>
      </c>
      <c r="M733">
        <v>56.354000000000042</v>
      </c>
      <c r="N733" t="str">
        <f>"P. "&amp;(Sales__tbl[[#This Row],[product_id]]&amp;"."&amp;TEXT(Sales__tbl[[#This Row],[selling_price]],"0.00"))</f>
        <v>P. P.id08.274.16</v>
      </c>
    </row>
    <row r="734" spans="1:14" x14ac:dyDescent="0.25">
      <c r="A734">
        <v>733</v>
      </c>
      <c r="B734" s="9" t="str">
        <f>TEXT(Sales__tbl[[#This Row],[date]],"MM")</f>
        <v>02</v>
      </c>
      <c r="C734" s="13">
        <v>45701</v>
      </c>
      <c r="D734" t="str">
        <f>_xlfn.XLOOKUP(Sales__tbl[[#This Row],[customer_id]],customer_tbl[customer_id],customer_tbl[Branch_id],"Not found")</f>
        <v>S01</v>
      </c>
      <c r="E734" t="s">
        <v>1171</v>
      </c>
      <c r="F734" t="s">
        <v>966</v>
      </c>
      <c r="G734" t="s">
        <v>851</v>
      </c>
      <c r="H734">
        <v>1</v>
      </c>
      <c r="I734">
        <v>196.75</v>
      </c>
      <c r="J734">
        <v>0.1</v>
      </c>
      <c r="K734" s="3">
        <v>19.674999999999983</v>
      </c>
      <c r="L734">
        <v>177.07500000000002</v>
      </c>
      <c r="M734">
        <v>20.925000000000011</v>
      </c>
      <c r="N734" t="str">
        <f>"P. "&amp;(Sales__tbl[[#This Row],[product_id]]&amp;"."&amp;TEXT(Sales__tbl[[#This Row],[selling_price]],"0.00"))</f>
        <v>P. P.id11.196.75</v>
      </c>
    </row>
    <row r="735" spans="1:14" x14ac:dyDescent="0.25">
      <c r="A735">
        <v>734</v>
      </c>
      <c r="B735" s="9" t="str">
        <f>TEXT(Sales__tbl[[#This Row],[date]],"MM")</f>
        <v>02</v>
      </c>
      <c r="C735" s="13">
        <v>45702</v>
      </c>
      <c r="D735" t="str">
        <f>_xlfn.XLOOKUP(Sales__tbl[[#This Row],[customer_id]],customer_tbl[customer_id],customer_tbl[Branch_id],"Not found")</f>
        <v>S02</v>
      </c>
      <c r="E735" t="s">
        <v>1085</v>
      </c>
      <c r="F735" t="s">
        <v>961</v>
      </c>
      <c r="G735" t="s">
        <v>940</v>
      </c>
      <c r="H735">
        <v>1</v>
      </c>
      <c r="I735">
        <v>66.790000000000006</v>
      </c>
      <c r="J735">
        <v>0</v>
      </c>
      <c r="K735" s="3">
        <v>0</v>
      </c>
      <c r="L735">
        <v>66.790000000000006</v>
      </c>
      <c r="M735">
        <v>22.850000000000009</v>
      </c>
      <c r="N735" t="str">
        <f>"P. "&amp;(Sales__tbl[[#This Row],[product_id]]&amp;"."&amp;TEXT(Sales__tbl[[#This Row],[selling_price]],"0.00"))</f>
        <v>P. P.id06.66.79</v>
      </c>
    </row>
    <row r="736" spans="1:14" x14ac:dyDescent="0.25">
      <c r="A736">
        <v>735</v>
      </c>
      <c r="B736" s="9" t="str">
        <f>TEXT(Sales__tbl[[#This Row],[date]],"MM")</f>
        <v>02</v>
      </c>
      <c r="C736" s="13">
        <v>45703</v>
      </c>
      <c r="D736" t="str">
        <f>_xlfn.XLOOKUP(Sales__tbl[[#This Row],[customer_id]],customer_tbl[customer_id],customer_tbl[Branch_id],"Not found")</f>
        <v>C01</v>
      </c>
      <c r="E736" t="s">
        <v>1127</v>
      </c>
      <c r="F736" t="s">
        <v>960</v>
      </c>
      <c r="G736" t="s">
        <v>839</v>
      </c>
      <c r="H736">
        <v>2</v>
      </c>
      <c r="I736">
        <v>165.45</v>
      </c>
      <c r="J736">
        <v>0.15</v>
      </c>
      <c r="K736" s="3">
        <v>49.634999999999991</v>
      </c>
      <c r="L736">
        <v>281.26499999999999</v>
      </c>
      <c r="M736">
        <v>34.324999999999989</v>
      </c>
      <c r="N736" t="str">
        <f>"P. "&amp;(Sales__tbl[[#This Row],[product_id]]&amp;"."&amp;TEXT(Sales__tbl[[#This Row],[selling_price]],"0.00"))</f>
        <v>P. P.id05.165.45</v>
      </c>
    </row>
    <row r="737" spans="1:14" x14ac:dyDescent="0.25">
      <c r="A737">
        <v>736</v>
      </c>
      <c r="B737" s="9" t="str">
        <f>TEXT(Sales__tbl[[#This Row],[date]],"MM")</f>
        <v>02</v>
      </c>
      <c r="C737" s="13">
        <v>45704</v>
      </c>
      <c r="D737" t="str">
        <f>_xlfn.XLOOKUP(Sales__tbl[[#This Row],[customer_id]],customer_tbl[customer_id],customer_tbl[Branch_id],"Not found")</f>
        <v>S02</v>
      </c>
      <c r="E737" t="s">
        <v>1132</v>
      </c>
      <c r="F737" t="s">
        <v>963</v>
      </c>
      <c r="G737" t="s">
        <v>942</v>
      </c>
      <c r="H737">
        <v>1</v>
      </c>
      <c r="I737">
        <v>274.16000000000003</v>
      </c>
      <c r="J737">
        <v>0.1</v>
      </c>
      <c r="K737" s="3">
        <v>27.415999999999997</v>
      </c>
      <c r="L737">
        <v>246.74400000000003</v>
      </c>
      <c r="M737">
        <v>56.354000000000042</v>
      </c>
      <c r="N737" t="str">
        <f>"P. "&amp;(Sales__tbl[[#This Row],[product_id]]&amp;"."&amp;TEXT(Sales__tbl[[#This Row],[selling_price]],"0.00"))</f>
        <v>P. P.id08.274.16</v>
      </c>
    </row>
    <row r="738" spans="1:14" x14ac:dyDescent="0.25">
      <c r="A738">
        <v>737</v>
      </c>
      <c r="B738" s="9" t="str">
        <f>TEXT(Sales__tbl[[#This Row],[date]],"MM")</f>
        <v>02</v>
      </c>
      <c r="C738" s="13">
        <v>45705</v>
      </c>
      <c r="D738" t="str">
        <f>_xlfn.XLOOKUP(Sales__tbl[[#This Row],[customer_id]],customer_tbl[customer_id],customer_tbl[Branch_id],"Not found")</f>
        <v>W01</v>
      </c>
      <c r="E738" t="s">
        <v>1031</v>
      </c>
      <c r="F738" t="s">
        <v>967</v>
      </c>
      <c r="G738" t="s">
        <v>872</v>
      </c>
      <c r="H738">
        <v>1</v>
      </c>
      <c r="I738">
        <v>91.73</v>
      </c>
      <c r="J738">
        <v>0</v>
      </c>
      <c r="K738" s="3">
        <v>0</v>
      </c>
      <c r="L738">
        <v>91.73</v>
      </c>
      <c r="M738">
        <v>15.290000000000006</v>
      </c>
      <c r="N738" t="str">
        <f>"P. "&amp;(Sales__tbl[[#This Row],[product_id]]&amp;"."&amp;TEXT(Sales__tbl[[#This Row],[selling_price]],"0.00"))</f>
        <v>P. P.id12.91.73</v>
      </c>
    </row>
    <row r="739" spans="1:14" x14ac:dyDescent="0.25">
      <c r="A739">
        <v>738</v>
      </c>
      <c r="B739" s="9" t="str">
        <f>TEXT(Sales__tbl[[#This Row],[date]],"MM")</f>
        <v>02</v>
      </c>
      <c r="C739" s="13">
        <v>45706</v>
      </c>
      <c r="D739" t="str">
        <f>_xlfn.XLOOKUP(Sales__tbl[[#This Row],[customer_id]],customer_tbl[customer_id],customer_tbl[Branch_id],"Not found")</f>
        <v>E01</v>
      </c>
      <c r="E739" t="s">
        <v>1165</v>
      </c>
      <c r="F739" t="s">
        <v>958</v>
      </c>
      <c r="G739" t="s">
        <v>939</v>
      </c>
      <c r="H739">
        <v>3</v>
      </c>
      <c r="I739">
        <v>90.53</v>
      </c>
      <c r="J739">
        <v>0.1</v>
      </c>
      <c r="K739" s="3">
        <v>27.158999999999992</v>
      </c>
      <c r="L739">
        <v>244.43100000000004</v>
      </c>
      <c r="M739">
        <v>10.311000000000035</v>
      </c>
      <c r="N739" t="str">
        <f>"P. "&amp;(Sales__tbl[[#This Row],[product_id]]&amp;"."&amp;TEXT(Sales__tbl[[#This Row],[selling_price]],"0.00"))</f>
        <v>P. P.id03.90.53</v>
      </c>
    </row>
    <row r="740" spans="1:14" x14ac:dyDescent="0.25">
      <c r="A740">
        <v>739</v>
      </c>
      <c r="B740" s="9" t="str">
        <f>TEXT(Sales__tbl[[#This Row],[date]],"MM")</f>
        <v>02</v>
      </c>
      <c r="C740" s="13">
        <v>45707</v>
      </c>
      <c r="D740" t="str">
        <f>_xlfn.XLOOKUP(Sales__tbl[[#This Row],[customer_id]],customer_tbl[customer_id],customer_tbl[Branch_id],"Not found")</f>
        <v>C01</v>
      </c>
      <c r="E740" t="s">
        <v>999</v>
      </c>
      <c r="F740" t="s">
        <v>962</v>
      </c>
      <c r="G740" t="s">
        <v>941</v>
      </c>
      <c r="H740">
        <v>1</v>
      </c>
      <c r="I740">
        <v>259.11</v>
      </c>
      <c r="J740">
        <v>0.1</v>
      </c>
      <c r="K740" s="3">
        <v>25.911000000000001</v>
      </c>
      <c r="L740">
        <v>233.19900000000001</v>
      </c>
      <c r="M740">
        <v>59.299000000000007</v>
      </c>
      <c r="N740" t="str">
        <f>"P. "&amp;(Sales__tbl[[#This Row],[product_id]]&amp;"."&amp;TEXT(Sales__tbl[[#This Row],[selling_price]],"0.00"))</f>
        <v>P. P.id07.259.11</v>
      </c>
    </row>
    <row r="741" spans="1:14" x14ac:dyDescent="0.25">
      <c r="A741">
        <v>740</v>
      </c>
      <c r="B741" s="9" t="str">
        <f>TEXT(Sales__tbl[[#This Row],[date]],"MM")</f>
        <v>02</v>
      </c>
      <c r="C741" s="13">
        <v>45708</v>
      </c>
      <c r="D741" t="str">
        <f>_xlfn.XLOOKUP(Sales__tbl[[#This Row],[customer_id]],customer_tbl[customer_id],customer_tbl[Branch_id],"Not found")</f>
        <v>N02</v>
      </c>
      <c r="E741" t="s">
        <v>1108</v>
      </c>
      <c r="F741" t="s">
        <v>961</v>
      </c>
      <c r="G741" t="s">
        <v>940</v>
      </c>
      <c r="H741">
        <v>1</v>
      </c>
      <c r="I741">
        <v>66.790000000000006</v>
      </c>
      <c r="J741">
        <v>0</v>
      </c>
      <c r="K741" s="3">
        <v>0</v>
      </c>
      <c r="L741">
        <v>66.790000000000006</v>
      </c>
      <c r="M741">
        <v>22.850000000000009</v>
      </c>
      <c r="N741" t="str">
        <f>"P. "&amp;(Sales__tbl[[#This Row],[product_id]]&amp;"."&amp;TEXT(Sales__tbl[[#This Row],[selling_price]],"0.00"))</f>
        <v>P. P.id06.66.79</v>
      </c>
    </row>
    <row r="742" spans="1:14" x14ac:dyDescent="0.25">
      <c r="A742">
        <v>741</v>
      </c>
      <c r="B742" s="9" t="str">
        <f>TEXT(Sales__tbl[[#This Row],[date]],"MM")</f>
        <v>02</v>
      </c>
      <c r="C742" s="13">
        <v>45709</v>
      </c>
      <c r="D742" t="str">
        <f>_xlfn.XLOOKUP(Sales__tbl[[#This Row],[customer_id]],customer_tbl[customer_id],customer_tbl[Branch_id],"Not found")</f>
        <v>N01</v>
      </c>
      <c r="E742" t="s">
        <v>1139</v>
      </c>
      <c r="F742" t="s">
        <v>960</v>
      </c>
      <c r="G742" t="s">
        <v>839</v>
      </c>
      <c r="H742">
        <v>2</v>
      </c>
      <c r="I742">
        <v>165.45</v>
      </c>
      <c r="J742">
        <v>0.15</v>
      </c>
      <c r="K742" s="3">
        <v>49.634999999999991</v>
      </c>
      <c r="L742">
        <v>281.26499999999999</v>
      </c>
      <c r="M742">
        <v>34.324999999999989</v>
      </c>
      <c r="N742" t="str">
        <f>"P. "&amp;(Sales__tbl[[#This Row],[product_id]]&amp;"."&amp;TEXT(Sales__tbl[[#This Row],[selling_price]],"0.00"))</f>
        <v>P. P.id05.165.45</v>
      </c>
    </row>
    <row r="743" spans="1:14" x14ac:dyDescent="0.25">
      <c r="A743">
        <v>742</v>
      </c>
      <c r="B743" s="9" t="str">
        <f>TEXT(Sales__tbl[[#This Row],[date]],"MM")</f>
        <v>02</v>
      </c>
      <c r="C743" s="13">
        <v>45710</v>
      </c>
      <c r="D743" t="str">
        <f>_xlfn.XLOOKUP(Sales__tbl[[#This Row],[customer_id]],customer_tbl[customer_id],customer_tbl[Branch_id],"Not found")</f>
        <v>N01</v>
      </c>
      <c r="E743" t="s">
        <v>1030</v>
      </c>
      <c r="F743" t="s">
        <v>958</v>
      </c>
      <c r="G743" t="s">
        <v>939</v>
      </c>
      <c r="H743">
        <v>1</v>
      </c>
      <c r="I743">
        <v>90.53</v>
      </c>
      <c r="J743">
        <v>0</v>
      </c>
      <c r="K743" s="3">
        <v>0</v>
      </c>
      <c r="L743">
        <v>90.53</v>
      </c>
      <c r="M743">
        <v>12.489999999999995</v>
      </c>
      <c r="N743" t="str">
        <f>"P. "&amp;(Sales__tbl[[#This Row],[product_id]]&amp;"."&amp;TEXT(Sales__tbl[[#This Row],[selling_price]],"0.00"))</f>
        <v>P. P.id03.90.53</v>
      </c>
    </row>
    <row r="744" spans="1:14" x14ac:dyDescent="0.25">
      <c r="A744">
        <v>743</v>
      </c>
      <c r="B744" s="9" t="str">
        <f>TEXT(Sales__tbl[[#This Row],[date]],"MM")</f>
        <v>02</v>
      </c>
      <c r="C744" s="13">
        <v>45711</v>
      </c>
      <c r="D744" t="str">
        <f>_xlfn.XLOOKUP(Sales__tbl[[#This Row],[customer_id]],customer_tbl[customer_id],customer_tbl[Branch_id],"Not found")</f>
        <v>C01</v>
      </c>
      <c r="E744" t="s">
        <v>1010</v>
      </c>
      <c r="F744" t="s">
        <v>959</v>
      </c>
      <c r="G744" t="s">
        <v>837</v>
      </c>
      <c r="H744">
        <v>1</v>
      </c>
      <c r="I744">
        <v>11.53</v>
      </c>
      <c r="J744">
        <v>0</v>
      </c>
      <c r="K744" s="3">
        <v>0</v>
      </c>
      <c r="L744">
        <v>11.53</v>
      </c>
      <c r="M744">
        <v>2.5199999999999996</v>
      </c>
      <c r="N744" t="str">
        <f>"P. "&amp;(Sales__tbl[[#This Row],[product_id]]&amp;"."&amp;TEXT(Sales__tbl[[#This Row],[selling_price]],"0.00"))</f>
        <v>P. P.id04.11.53</v>
      </c>
    </row>
    <row r="745" spans="1:14" x14ac:dyDescent="0.25">
      <c r="A745">
        <v>744</v>
      </c>
      <c r="B745" s="9" t="str">
        <f>TEXT(Sales__tbl[[#This Row],[date]],"MM")</f>
        <v>02</v>
      </c>
      <c r="C745" s="13">
        <v>45712</v>
      </c>
      <c r="D745" t="str">
        <f>_xlfn.XLOOKUP(Sales__tbl[[#This Row],[customer_id]],customer_tbl[customer_id],customer_tbl[Branch_id],"Not found")</f>
        <v>E02</v>
      </c>
      <c r="E745" t="s">
        <v>1105</v>
      </c>
      <c r="F745" t="s">
        <v>960</v>
      </c>
      <c r="G745" t="s">
        <v>839</v>
      </c>
      <c r="H745">
        <v>1</v>
      </c>
      <c r="I745">
        <v>165.45</v>
      </c>
      <c r="J745">
        <v>0.1</v>
      </c>
      <c r="K745" s="3">
        <v>16.544999999999987</v>
      </c>
      <c r="L745">
        <v>148.905</v>
      </c>
      <c r="M745">
        <v>25.435000000000002</v>
      </c>
      <c r="N745" t="str">
        <f>"P. "&amp;(Sales__tbl[[#This Row],[product_id]]&amp;"."&amp;TEXT(Sales__tbl[[#This Row],[selling_price]],"0.00"))</f>
        <v>P. P.id05.165.45</v>
      </c>
    </row>
    <row r="746" spans="1:14" x14ac:dyDescent="0.25">
      <c r="A746">
        <v>745</v>
      </c>
      <c r="B746" s="9" t="str">
        <f>TEXT(Sales__tbl[[#This Row],[date]],"MM")</f>
        <v>02</v>
      </c>
      <c r="C746" s="13">
        <v>45713</v>
      </c>
      <c r="D746" t="str">
        <f>_xlfn.XLOOKUP(Sales__tbl[[#This Row],[customer_id]],customer_tbl[customer_id],customer_tbl[Branch_id],"Not found")</f>
        <v>W02</v>
      </c>
      <c r="E746" t="s">
        <v>1124</v>
      </c>
      <c r="F746" t="s">
        <v>966</v>
      </c>
      <c r="G746" t="s">
        <v>851</v>
      </c>
      <c r="H746">
        <v>1</v>
      </c>
      <c r="I746">
        <v>196.75</v>
      </c>
      <c r="J746">
        <v>0.1</v>
      </c>
      <c r="K746" s="3">
        <v>19.674999999999983</v>
      </c>
      <c r="L746">
        <v>177.07500000000002</v>
      </c>
      <c r="M746">
        <v>20.925000000000011</v>
      </c>
      <c r="N746" t="str">
        <f>"P. "&amp;(Sales__tbl[[#This Row],[product_id]]&amp;"."&amp;TEXT(Sales__tbl[[#This Row],[selling_price]],"0.00"))</f>
        <v>P. P.id11.196.75</v>
      </c>
    </row>
    <row r="747" spans="1:14" x14ac:dyDescent="0.25">
      <c r="A747">
        <v>746</v>
      </c>
      <c r="B747" s="9" t="str">
        <f>TEXT(Sales__tbl[[#This Row],[date]],"MM")</f>
        <v>02</v>
      </c>
      <c r="C747" s="13">
        <v>45714</v>
      </c>
      <c r="D747" t="str">
        <f>_xlfn.XLOOKUP(Sales__tbl[[#This Row],[customer_id]],customer_tbl[customer_id],customer_tbl[Branch_id],"Not found")</f>
        <v>S01</v>
      </c>
      <c r="E747" t="s">
        <v>1171</v>
      </c>
      <c r="F747" t="s">
        <v>965</v>
      </c>
      <c r="G747" t="s">
        <v>847</v>
      </c>
      <c r="H747">
        <v>1</v>
      </c>
      <c r="I747">
        <v>168</v>
      </c>
      <c r="J747">
        <v>0.1</v>
      </c>
      <c r="K747" s="3">
        <v>16.799999999999983</v>
      </c>
      <c r="L747">
        <v>151.20000000000002</v>
      </c>
      <c r="M747">
        <v>29.460000000000022</v>
      </c>
      <c r="N747" t="str">
        <f>"P. "&amp;(Sales__tbl[[#This Row],[product_id]]&amp;"."&amp;TEXT(Sales__tbl[[#This Row],[selling_price]],"0.00"))</f>
        <v>P. P.id10.168.00</v>
      </c>
    </row>
    <row r="748" spans="1:14" x14ac:dyDescent="0.25">
      <c r="A748">
        <v>747</v>
      </c>
      <c r="B748" s="9" t="str">
        <f>TEXT(Sales__tbl[[#This Row],[date]],"MM")</f>
        <v>02</v>
      </c>
      <c r="C748" s="13">
        <v>45715</v>
      </c>
      <c r="D748" t="str">
        <f>_xlfn.XLOOKUP(Sales__tbl[[#This Row],[customer_id]],customer_tbl[customer_id],customer_tbl[Branch_id],"Not found")</f>
        <v>E01</v>
      </c>
      <c r="E748" t="s">
        <v>1032</v>
      </c>
      <c r="F748" t="s">
        <v>959</v>
      </c>
      <c r="G748" t="s">
        <v>837</v>
      </c>
      <c r="H748">
        <v>1</v>
      </c>
      <c r="I748">
        <v>11.53</v>
      </c>
      <c r="J748">
        <v>0</v>
      </c>
      <c r="K748" s="3">
        <v>0</v>
      </c>
      <c r="L748">
        <v>11.53</v>
      </c>
      <c r="M748">
        <v>2.5199999999999996</v>
      </c>
      <c r="N748" t="str">
        <f>"P. "&amp;(Sales__tbl[[#This Row],[product_id]]&amp;"."&amp;TEXT(Sales__tbl[[#This Row],[selling_price]],"0.00"))</f>
        <v>P. P.id04.11.53</v>
      </c>
    </row>
    <row r="749" spans="1:14" x14ac:dyDescent="0.25">
      <c r="A749">
        <v>748</v>
      </c>
      <c r="B749" s="9" t="str">
        <f>TEXT(Sales__tbl[[#This Row],[date]],"MM")</f>
        <v>02</v>
      </c>
      <c r="C749" s="13">
        <v>45716</v>
      </c>
      <c r="D749" t="str">
        <f>_xlfn.XLOOKUP(Sales__tbl[[#This Row],[customer_id]],customer_tbl[customer_id],customer_tbl[Branch_id],"Not found")</f>
        <v>N02</v>
      </c>
      <c r="E749" t="s">
        <v>1176</v>
      </c>
      <c r="F749" t="s">
        <v>966</v>
      </c>
      <c r="G749" t="s">
        <v>851</v>
      </c>
      <c r="H749">
        <v>1</v>
      </c>
      <c r="I749">
        <v>196.75</v>
      </c>
      <c r="J749">
        <v>0.1</v>
      </c>
      <c r="K749" s="3">
        <v>19.674999999999983</v>
      </c>
      <c r="L749">
        <v>177.07500000000002</v>
      </c>
      <c r="M749">
        <v>20.925000000000011</v>
      </c>
      <c r="N749" t="str">
        <f>"P. "&amp;(Sales__tbl[[#This Row],[product_id]]&amp;"."&amp;TEXT(Sales__tbl[[#This Row],[selling_price]],"0.00"))</f>
        <v>P. P.id11.196.75</v>
      </c>
    </row>
    <row r="750" spans="1:14" x14ac:dyDescent="0.25">
      <c r="A750">
        <v>749</v>
      </c>
      <c r="B750" s="9" t="str">
        <f>TEXT(Sales__tbl[[#This Row],[date]],"MM")</f>
        <v>03</v>
      </c>
      <c r="C750" s="13">
        <v>45717</v>
      </c>
      <c r="D750" t="str">
        <f>_xlfn.XLOOKUP(Sales__tbl[[#This Row],[customer_id]],customer_tbl[customer_id],customer_tbl[Branch_id],"Not found")</f>
        <v>W02</v>
      </c>
      <c r="E750" t="s">
        <v>1123</v>
      </c>
      <c r="F750" t="s">
        <v>959</v>
      </c>
      <c r="G750" t="s">
        <v>837</v>
      </c>
      <c r="H750">
        <v>1</v>
      </c>
      <c r="I750">
        <v>11.53</v>
      </c>
      <c r="J750">
        <v>0</v>
      </c>
      <c r="K750" s="3">
        <v>0</v>
      </c>
      <c r="L750">
        <v>11.53</v>
      </c>
      <c r="M750">
        <v>2.5199999999999996</v>
      </c>
      <c r="N750" t="str">
        <f>"P. "&amp;(Sales__tbl[[#This Row],[product_id]]&amp;"."&amp;TEXT(Sales__tbl[[#This Row],[selling_price]],"0.00"))</f>
        <v>P. P.id04.11.53</v>
      </c>
    </row>
    <row r="751" spans="1:14" x14ac:dyDescent="0.25">
      <c r="A751">
        <v>750</v>
      </c>
      <c r="B751" s="9" t="str">
        <f>TEXT(Sales__tbl[[#This Row],[date]],"MM")</f>
        <v>03</v>
      </c>
      <c r="C751" s="13">
        <v>45718</v>
      </c>
      <c r="D751" t="str">
        <f>_xlfn.XLOOKUP(Sales__tbl[[#This Row],[customer_id]],customer_tbl[customer_id],customer_tbl[Branch_id],"Not found")</f>
        <v>C02</v>
      </c>
      <c r="E751" t="s">
        <v>1174</v>
      </c>
      <c r="F751" t="s">
        <v>967</v>
      </c>
      <c r="G751" t="s">
        <v>872</v>
      </c>
      <c r="H751">
        <v>2</v>
      </c>
      <c r="I751">
        <v>91.73</v>
      </c>
      <c r="J751">
        <v>0.1</v>
      </c>
      <c r="K751" s="3">
        <v>18.346000000000004</v>
      </c>
      <c r="L751">
        <v>165.114</v>
      </c>
      <c r="M751">
        <v>12.234000000000009</v>
      </c>
      <c r="N751" t="str">
        <f>"P. "&amp;(Sales__tbl[[#This Row],[product_id]]&amp;"."&amp;TEXT(Sales__tbl[[#This Row],[selling_price]],"0.00"))</f>
        <v>P. P.id12.91.73</v>
      </c>
    </row>
    <row r="752" spans="1:14" x14ac:dyDescent="0.25">
      <c r="A752">
        <v>751</v>
      </c>
      <c r="B752" s="9" t="str">
        <f>TEXT(Sales__tbl[[#This Row],[date]],"MM")</f>
        <v>03</v>
      </c>
      <c r="C752" s="13">
        <v>45719</v>
      </c>
      <c r="D752" t="str">
        <f>_xlfn.XLOOKUP(Sales__tbl[[#This Row],[customer_id]],customer_tbl[customer_id],customer_tbl[Branch_id],"Not found")</f>
        <v>E02</v>
      </c>
      <c r="E752" t="s">
        <v>1195</v>
      </c>
      <c r="F752" t="s">
        <v>963</v>
      </c>
      <c r="G752" t="s">
        <v>942</v>
      </c>
      <c r="H752">
        <v>1</v>
      </c>
      <c r="I752">
        <v>274.16000000000003</v>
      </c>
      <c r="J752">
        <v>0.1</v>
      </c>
      <c r="K752" s="3">
        <v>27.415999999999997</v>
      </c>
      <c r="L752">
        <v>246.74400000000003</v>
      </c>
      <c r="M752">
        <v>56.354000000000042</v>
      </c>
      <c r="N752" t="str">
        <f>"P. "&amp;(Sales__tbl[[#This Row],[product_id]]&amp;"."&amp;TEXT(Sales__tbl[[#This Row],[selling_price]],"0.00"))</f>
        <v>P. P.id08.274.16</v>
      </c>
    </row>
    <row r="753" spans="1:14" x14ac:dyDescent="0.25">
      <c r="A753">
        <v>752</v>
      </c>
      <c r="B753" s="9" t="str">
        <f>TEXT(Sales__tbl[[#This Row],[date]],"MM")</f>
        <v>03</v>
      </c>
      <c r="C753" s="13">
        <v>45720</v>
      </c>
      <c r="D753" t="str">
        <f>_xlfn.XLOOKUP(Sales__tbl[[#This Row],[customer_id]],customer_tbl[customer_id],customer_tbl[Branch_id],"Not found")</f>
        <v>W01</v>
      </c>
      <c r="E753" t="s">
        <v>1082</v>
      </c>
      <c r="F753" t="s">
        <v>966</v>
      </c>
      <c r="G753" t="s">
        <v>851</v>
      </c>
      <c r="H753">
        <v>4</v>
      </c>
      <c r="I753">
        <v>196.75</v>
      </c>
      <c r="J753">
        <v>0.2</v>
      </c>
      <c r="K753" s="3">
        <v>157.39999999999998</v>
      </c>
      <c r="L753">
        <v>629.6</v>
      </c>
      <c r="M753">
        <v>5</v>
      </c>
      <c r="N753" t="str">
        <f>"P. "&amp;(Sales__tbl[[#This Row],[product_id]]&amp;"."&amp;TEXT(Sales__tbl[[#This Row],[selling_price]],"0.00"))</f>
        <v>P. P.id11.196.75</v>
      </c>
    </row>
    <row r="754" spans="1:14" x14ac:dyDescent="0.25">
      <c r="A754">
        <v>753</v>
      </c>
      <c r="B754" s="9" t="str">
        <f>TEXT(Sales__tbl[[#This Row],[date]],"MM")</f>
        <v>03</v>
      </c>
      <c r="C754" s="13">
        <v>45721</v>
      </c>
      <c r="D754" t="str">
        <f>_xlfn.XLOOKUP(Sales__tbl[[#This Row],[customer_id]],customer_tbl[customer_id],customer_tbl[Branch_id],"Not found")</f>
        <v>E01</v>
      </c>
      <c r="E754" t="s">
        <v>1050</v>
      </c>
      <c r="F754" t="s">
        <v>957</v>
      </c>
      <c r="G754" t="s">
        <v>833</v>
      </c>
      <c r="H754">
        <v>1</v>
      </c>
      <c r="I754">
        <v>55.26</v>
      </c>
      <c r="J754">
        <v>0</v>
      </c>
      <c r="K754" s="3">
        <v>0</v>
      </c>
      <c r="L754">
        <v>55.26</v>
      </c>
      <c r="M754">
        <v>19.839999999999996</v>
      </c>
      <c r="N754" t="str">
        <f>"P. "&amp;(Sales__tbl[[#This Row],[product_id]]&amp;"."&amp;TEXT(Sales__tbl[[#This Row],[selling_price]],"0.00"))</f>
        <v>P. P.id02.55.26</v>
      </c>
    </row>
    <row r="755" spans="1:14" x14ac:dyDescent="0.25">
      <c r="A755">
        <v>754</v>
      </c>
      <c r="B755" s="9" t="str">
        <f>TEXT(Sales__tbl[[#This Row],[date]],"MM")</f>
        <v>03</v>
      </c>
      <c r="C755" s="13">
        <v>45722</v>
      </c>
      <c r="D755" t="str">
        <f>_xlfn.XLOOKUP(Sales__tbl[[#This Row],[customer_id]],customer_tbl[customer_id],customer_tbl[Branch_id],"Not found")</f>
        <v>E01</v>
      </c>
      <c r="E755" t="s">
        <v>1050</v>
      </c>
      <c r="F755" t="s">
        <v>959</v>
      </c>
      <c r="G755" t="s">
        <v>837</v>
      </c>
      <c r="H755">
        <v>1</v>
      </c>
      <c r="I755">
        <v>11.53</v>
      </c>
      <c r="J755">
        <v>0</v>
      </c>
      <c r="K755" s="3">
        <v>0</v>
      </c>
      <c r="L755">
        <v>11.53</v>
      </c>
      <c r="M755">
        <v>2.5199999999999996</v>
      </c>
      <c r="N755" t="str">
        <f>"P. "&amp;(Sales__tbl[[#This Row],[product_id]]&amp;"."&amp;TEXT(Sales__tbl[[#This Row],[selling_price]],"0.00"))</f>
        <v>P. P.id04.11.53</v>
      </c>
    </row>
    <row r="756" spans="1:14" x14ac:dyDescent="0.25">
      <c r="A756">
        <v>755</v>
      </c>
      <c r="B756" s="9" t="str">
        <f>TEXT(Sales__tbl[[#This Row],[date]],"MM")</f>
        <v>03</v>
      </c>
      <c r="C756" s="13">
        <v>45723</v>
      </c>
      <c r="D756" t="str">
        <f>_xlfn.XLOOKUP(Sales__tbl[[#This Row],[customer_id]],customer_tbl[customer_id],customer_tbl[Branch_id],"Not found")</f>
        <v>E02</v>
      </c>
      <c r="E756" t="s">
        <v>1149</v>
      </c>
      <c r="F756" t="s">
        <v>956</v>
      </c>
      <c r="G756" t="s">
        <v>831</v>
      </c>
      <c r="H756">
        <v>1</v>
      </c>
      <c r="I756">
        <v>303.48</v>
      </c>
      <c r="J756">
        <v>0.15</v>
      </c>
      <c r="K756" s="3">
        <v>45.521999999999991</v>
      </c>
      <c r="L756">
        <v>257.95800000000003</v>
      </c>
      <c r="M756">
        <v>64.658000000000015</v>
      </c>
      <c r="N756" t="str">
        <f>"P. "&amp;(Sales__tbl[[#This Row],[product_id]]&amp;"."&amp;TEXT(Sales__tbl[[#This Row],[selling_price]],"0.00"))</f>
        <v>P. P.id01.303.48</v>
      </c>
    </row>
    <row r="757" spans="1:14" x14ac:dyDescent="0.25">
      <c r="A757">
        <v>756</v>
      </c>
      <c r="B757" s="9" t="str">
        <f>TEXT(Sales__tbl[[#This Row],[date]],"MM")</f>
        <v>03</v>
      </c>
      <c r="C757" s="13">
        <v>45724</v>
      </c>
      <c r="D757" t="str">
        <f>_xlfn.XLOOKUP(Sales__tbl[[#This Row],[customer_id]],customer_tbl[customer_id],customer_tbl[Branch_id],"Not found")</f>
        <v>W02</v>
      </c>
      <c r="E757" t="s">
        <v>1117</v>
      </c>
      <c r="F757" t="s">
        <v>967</v>
      </c>
      <c r="G757" t="s">
        <v>872</v>
      </c>
      <c r="H757">
        <v>4</v>
      </c>
      <c r="I757">
        <v>91.73</v>
      </c>
      <c r="J757">
        <v>0.15</v>
      </c>
      <c r="K757" s="3">
        <v>55.038000000000011</v>
      </c>
      <c r="L757">
        <v>311.88200000000001</v>
      </c>
      <c r="M757">
        <v>6.1220000000000141</v>
      </c>
      <c r="N757" t="str">
        <f>"P. "&amp;(Sales__tbl[[#This Row],[product_id]]&amp;"."&amp;TEXT(Sales__tbl[[#This Row],[selling_price]],"0.00"))</f>
        <v>P. P.id12.91.73</v>
      </c>
    </row>
    <row r="758" spans="1:14" x14ac:dyDescent="0.25">
      <c r="A758">
        <v>757</v>
      </c>
      <c r="B758" s="9" t="str">
        <f>TEXT(Sales__tbl[[#This Row],[date]],"MM")</f>
        <v>03</v>
      </c>
      <c r="C758" s="13">
        <v>45725</v>
      </c>
      <c r="D758" t="str">
        <f>_xlfn.XLOOKUP(Sales__tbl[[#This Row],[customer_id]],customer_tbl[customer_id],customer_tbl[Branch_id],"Not found")</f>
        <v>W01</v>
      </c>
      <c r="E758" t="s">
        <v>1007</v>
      </c>
      <c r="F758" t="s">
        <v>961</v>
      </c>
      <c r="G758" t="s">
        <v>940</v>
      </c>
      <c r="H758">
        <v>1</v>
      </c>
      <c r="I758">
        <v>66.790000000000006</v>
      </c>
      <c r="J758">
        <v>0</v>
      </c>
      <c r="K758" s="3">
        <v>0</v>
      </c>
      <c r="L758">
        <v>66.790000000000006</v>
      </c>
      <c r="M758">
        <v>22.850000000000009</v>
      </c>
      <c r="N758" t="str">
        <f>"P. "&amp;(Sales__tbl[[#This Row],[product_id]]&amp;"."&amp;TEXT(Sales__tbl[[#This Row],[selling_price]],"0.00"))</f>
        <v>P. P.id06.66.79</v>
      </c>
    </row>
    <row r="759" spans="1:14" x14ac:dyDescent="0.25">
      <c r="A759">
        <v>758</v>
      </c>
      <c r="B759" s="9" t="str">
        <f>TEXT(Sales__tbl[[#This Row],[date]],"MM")</f>
        <v>03</v>
      </c>
      <c r="C759" s="13">
        <v>45726</v>
      </c>
      <c r="D759" t="str">
        <f>_xlfn.XLOOKUP(Sales__tbl[[#This Row],[customer_id]],customer_tbl[customer_id],customer_tbl[Branch_id],"Not found")</f>
        <v>E01</v>
      </c>
      <c r="E759" t="s">
        <v>1180</v>
      </c>
      <c r="F759" t="s">
        <v>961</v>
      </c>
      <c r="G759" t="s">
        <v>940</v>
      </c>
      <c r="H759">
        <v>1</v>
      </c>
      <c r="I759">
        <v>66.790000000000006</v>
      </c>
      <c r="J759">
        <v>0</v>
      </c>
      <c r="K759" s="3">
        <v>0</v>
      </c>
      <c r="L759">
        <v>66.790000000000006</v>
      </c>
      <c r="M759">
        <v>22.850000000000009</v>
      </c>
      <c r="N759" t="str">
        <f>"P. "&amp;(Sales__tbl[[#This Row],[product_id]]&amp;"."&amp;TEXT(Sales__tbl[[#This Row],[selling_price]],"0.00"))</f>
        <v>P. P.id06.66.79</v>
      </c>
    </row>
    <row r="760" spans="1:14" x14ac:dyDescent="0.25">
      <c r="A760">
        <v>759</v>
      </c>
      <c r="B760" s="9" t="str">
        <f>TEXT(Sales__tbl[[#This Row],[date]],"MM")</f>
        <v>03</v>
      </c>
      <c r="C760" s="13">
        <v>45727</v>
      </c>
      <c r="D760" t="str">
        <f>_xlfn.XLOOKUP(Sales__tbl[[#This Row],[customer_id]],customer_tbl[customer_id],customer_tbl[Branch_id],"Not found")</f>
        <v>C02</v>
      </c>
      <c r="E760" t="s">
        <v>1054</v>
      </c>
      <c r="F760" t="s">
        <v>965</v>
      </c>
      <c r="G760" t="s">
        <v>847</v>
      </c>
      <c r="H760">
        <v>1</v>
      </c>
      <c r="I760">
        <v>168</v>
      </c>
      <c r="J760">
        <v>0.1</v>
      </c>
      <c r="K760" s="3">
        <v>16.799999999999983</v>
      </c>
      <c r="L760">
        <v>151.20000000000002</v>
      </c>
      <c r="M760">
        <v>29.460000000000022</v>
      </c>
      <c r="N760" t="str">
        <f>"P. "&amp;(Sales__tbl[[#This Row],[product_id]]&amp;"."&amp;TEXT(Sales__tbl[[#This Row],[selling_price]],"0.00"))</f>
        <v>P. P.id10.168.00</v>
      </c>
    </row>
    <row r="761" spans="1:14" x14ac:dyDescent="0.25">
      <c r="A761">
        <v>760</v>
      </c>
      <c r="B761" s="9" t="str">
        <f>TEXT(Sales__tbl[[#This Row],[date]],"MM")</f>
        <v>03</v>
      </c>
      <c r="C761" s="13">
        <v>45728</v>
      </c>
      <c r="D761" t="str">
        <f>_xlfn.XLOOKUP(Sales__tbl[[#This Row],[customer_id]],customer_tbl[customer_id],customer_tbl[Branch_id],"Not found")</f>
        <v>N01</v>
      </c>
      <c r="E761" t="s">
        <v>1164</v>
      </c>
      <c r="F761" t="s">
        <v>965</v>
      </c>
      <c r="G761" t="s">
        <v>847</v>
      </c>
      <c r="H761">
        <v>1</v>
      </c>
      <c r="I761">
        <v>168</v>
      </c>
      <c r="J761">
        <v>0.1</v>
      </c>
      <c r="K761" s="3">
        <v>16.799999999999983</v>
      </c>
      <c r="L761">
        <v>151.20000000000002</v>
      </c>
      <c r="M761">
        <v>29.460000000000022</v>
      </c>
      <c r="N761" t="str">
        <f>"P. "&amp;(Sales__tbl[[#This Row],[product_id]]&amp;"."&amp;TEXT(Sales__tbl[[#This Row],[selling_price]],"0.00"))</f>
        <v>P. P.id10.168.00</v>
      </c>
    </row>
    <row r="762" spans="1:14" x14ac:dyDescent="0.25">
      <c r="A762">
        <v>761</v>
      </c>
      <c r="B762" s="9" t="str">
        <f>TEXT(Sales__tbl[[#This Row],[date]],"MM")</f>
        <v>03</v>
      </c>
      <c r="C762" s="13">
        <v>45729</v>
      </c>
      <c r="D762" t="str">
        <f>_xlfn.XLOOKUP(Sales__tbl[[#This Row],[customer_id]],customer_tbl[customer_id],customer_tbl[Branch_id],"Not found")</f>
        <v>W01</v>
      </c>
      <c r="E762" t="s">
        <v>1087</v>
      </c>
      <c r="F762" t="s">
        <v>966</v>
      </c>
      <c r="G762" t="s">
        <v>851</v>
      </c>
      <c r="H762">
        <v>1</v>
      </c>
      <c r="I762">
        <v>196.75</v>
      </c>
      <c r="J762">
        <v>0.1</v>
      </c>
      <c r="K762" s="3">
        <v>19.674999999999983</v>
      </c>
      <c r="L762">
        <v>177.07500000000002</v>
      </c>
      <c r="M762">
        <v>20.925000000000011</v>
      </c>
      <c r="N762" t="str">
        <f>"P. "&amp;(Sales__tbl[[#This Row],[product_id]]&amp;"."&amp;TEXT(Sales__tbl[[#This Row],[selling_price]],"0.00"))</f>
        <v>P. P.id11.196.75</v>
      </c>
    </row>
    <row r="763" spans="1:14" x14ac:dyDescent="0.25">
      <c r="A763">
        <v>762</v>
      </c>
      <c r="B763" s="9" t="str">
        <f>TEXT(Sales__tbl[[#This Row],[date]],"MM")</f>
        <v>03</v>
      </c>
      <c r="C763" s="13">
        <v>45730</v>
      </c>
      <c r="D763" t="str">
        <f>_xlfn.XLOOKUP(Sales__tbl[[#This Row],[customer_id]],customer_tbl[customer_id],customer_tbl[Branch_id],"Not found")</f>
        <v>C02</v>
      </c>
      <c r="E763" t="s">
        <v>1175</v>
      </c>
      <c r="F763" t="s">
        <v>959</v>
      </c>
      <c r="G763" t="s">
        <v>837</v>
      </c>
      <c r="H763">
        <v>4</v>
      </c>
      <c r="I763">
        <v>11.53</v>
      </c>
      <c r="J763">
        <v>0</v>
      </c>
      <c r="K763" s="3">
        <v>0</v>
      </c>
      <c r="L763">
        <v>46.12</v>
      </c>
      <c r="M763">
        <v>10.079999999999998</v>
      </c>
      <c r="N763" t="str">
        <f>"P. "&amp;(Sales__tbl[[#This Row],[product_id]]&amp;"."&amp;TEXT(Sales__tbl[[#This Row],[selling_price]],"0.00"))</f>
        <v>P. P.id04.11.53</v>
      </c>
    </row>
    <row r="764" spans="1:14" x14ac:dyDescent="0.25">
      <c r="A764">
        <v>763</v>
      </c>
      <c r="B764" s="9" t="str">
        <f>TEXT(Sales__tbl[[#This Row],[date]],"MM")</f>
        <v>03</v>
      </c>
      <c r="C764" s="13">
        <v>45731</v>
      </c>
      <c r="D764" t="str">
        <f>_xlfn.XLOOKUP(Sales__tbl[[#This Row],[customer_id]],customer_tbl[customer_id],customer_tbl[Branch_id],"Not found")</f>
        <v>S02</v>
      </c>
      <c r="E764" t="s">
        <v>1153</v>
      </c>
      <c r="F764" t="s">
        <v>961</v>
      </c>
      <c r="G764" t="s">
        <v>940</v>
      </c>
      <c r="H764">
        <v>4</v>
      </c>
      <c r="I764">
        <v>66.790000000000006</v>
      </c>
      <c r="J764">
        <v>0.1</v>
      </c>
      <c r="K764" s="3">
        <v>26.716000000000008</v>
      </c>
      <c r="L764">
        <v>240.44400000000002</v>
      </c>
      <c r="M764">
        <v>64.684000000000026</v>
      </c>
      <c r="N764" t="str">
        <f>"P. "&amp;(Sales__tbl[[#This Row],[product_id]]&amp;"."&amp;TEXT(Sales__tbl[[#This Row],[selling_price]],"0.00"))</f>
        <v>P. P.id06.66.79</v>
      </c>
    </row>
    <row r="765" spans="1:14" x14ac:dyDescent="0.25">
      <c r="A765">
        <v>764</v>
      </c>
      <c r="B765" s="9" t="str">
        <f>TEXT(Sales__tbl[[#This Row],[date]],"MM")</f>
        <v>03</v>
      </c>
      <c r="C765" s="13">
        <v>45732</v>
      </c>
      <c r="D765" t="str">
        <f>_xlfn.XLOOKUP(Sales__tbl[[#This Row],[customer_id]],customer_tbl[customer_id],customer_tbl[Branch_id],"Not found")</f>
        <v>E02</v>
      </c>
      <c r="E765" t="s">
        <v>1048</v>
      </c>
      <c r="F765" t="s">
        <v>963</v>
      </c>
      <c r="G765" t="s">
        <v>942</v>
      </c>
      <c r="H765">
        <v>1</v>
      </c>
      <c r="I765">
        <v>274.16000000000003</v>
      </c>
      <c r="J765">
        <v>0.1</v>
      </c>
      <c r="K765" s="3">
        <v>27.415999999999997</v>
      </c>
      <c r="L765">
        <v>246.74400000000003</v>
      </c>
      <c r="M765">
        <v>56.354000000000042</v>
      </c>
      <c r="N765" t="str">
        <f>"P. "&amp;(Sales__tbl[[#This Row],[product_id]]&amp;"."&amp;TEXT(Sales__tbl[[#This Row],[selling_price]],"0.00"))</f>
        <v>P. P.id08.274.16</v>
      </c>
    </row>
    <row r="766" spans="1:14" x14ac:dyDescent="0.25">
      <c r="A766">
        <v>765</v>
      </c>
      <c r="B766" s="9" t="str">
        <f>TEXT(Sales__tbl[[#This Row],[date]],"MM")</f>
        <v>03</v>
      </c>
      <c r="C766" s="13">
        <v>45733</v>
      </c>
      <c r="D766" t="str">
        <f>_xlfn.XLOOKUP(Sales__tbl[[#This Row],[customer_id]],customer_tbl[customer_id],customer_tbl[Branch_id],"Not found")</f>
        <v>E02</v>
      </c>
      <c r="E766" t="s">
        <v>1196</v>
      </c>
      <c r="F766" t="s">
        <v>966</v>
      </c>
      <c r="G766" t="s">
        <v>851</v>
      </c>
      <c r="H766">
        <v>1</v>
      </c>
      <c r="I766">
        <v>196.75</v>
      </c>
      <c r="J766">
        <v>0.1</v>
      </c>
      <c r="K766" s="3">
        <v>19.674999999999983</v>
      </c>
      <c r="L766">
        <v>177.07500000000002</v>
      </c>
      <c r="M766">
        <v>20.925000000000011</v>
      </c>
      <c r="N766" t="str">
        <f>"P. "&amp;(Sales__tbl[[#This Row],[product_id]]&amp;"."&amp;TEXT(Sales__tbl[[#This Row],[selling_price]],"0.00"))</f>
        <v>P. P.id11.196.75</v>
      </c>
    </row>
    <row r="767" spans="1:14" x14ac:dyDescent="0.25">
      <c r="A767">
        <v>766</v>
      </c>
      <c r="B767" s="9" t="str">
        <f>TEXT(Sales__tbl[[#This Row],[date]],"MM")</f>
        <v>03</v>
      </c>
      <c r="C767" s="13">
        <v>45734</v>
      </c>
      <c r="D767" t="str">
        <f>_xlfn.XLOOKUP(Sales__tbl[[#This Row],[customer_id]],customer_tbl[customer_id],customer_tbl[Branch_id],"Not found")</f>
        <v>W02</v>
      </c>
      <c r="E767" t="s">
        <v>1186</v>
      </c>
      <c r="F767" t="s">
        <v>957</v>
      </c>
      <c r="G767" t="s">
        <v>833</v>
      </c>
      <c r="H767">
        <v>1</v>
      </c>
      <c r="I767">
        <v>55.26</v>
      </c>
      <c r="J767">
        <v>0</v>
      </c>
      <c r="K767" s="3">
        <v>0</v>
      </c>
      <c r="L767">
        <v>55.26</v>
      </c>
      <c r="M767">
        <v>19.839999999999996</v>
      </c>
      <c r="N767" t="str">
        <f>"P. "&amp;(Sales__tbl[[#This Row],[product_id]]&amp;"."&amp;TEXT(Sales__tbl[[#This Row],[selling_price]],"0.00"))</f>
        <v>P. P.id02.55.26</v>
      </c>
    </row>
    <row r="768" spans="1:14" x14ac:dyDescent="0.25">
      <c r="A768">
        <v>767</v>
      </c>
      <c r="B768" s="9" t="str">
        <f>TEXT(Sales__tbl[[#This Row],[date]],"MM")</f>
        <v>03</v>
      </c>
      <c r="C768" s="13">
        <v>45735</v>
      </c>
      <c r="D768" t="str">
        <f>_xlfn.XLOOKUP(Sales__tbl[[#This Row],[customer_id]],customer_tbl[customer_id],customer_tbl[Branch_id],"Not found")</f>
        <v>S02</v>
      </c>
      <c r="E768" t="s">
        <v>994</v>
      </c>
      <c r="F768" t="s">
        <v>967</v>
      </c>
      <c r="G768" t="s">
        <v>872</v>
      </c>
      <c r="H768">
        <v>1</v>
      </c>
      <c r="I768">
        <v>91.73</v>
      </c>
      <c r="J768">
        <v>0</v>
      </c>
      <c r="K768" s="3">
        <v>0</v>
      </c>
      <c r="L768">
        <v>91.73</v>
      </c>
      <c r="M768">
        <v>15.290000000000006</v>
      </c>
      <c r="N768" t="str">
        <f>"P. "&amp;(Sales__tbl[[#This Row],[product_id]]&amp;"."&amp;TEXT(Sales__tbl[[#This Row],[selling_price]],"0.00"))</f>
        <v>P. P.id12.91.73</v>
      </c>
    </row>
    <row r="769" spans="1:14" x14ac:dyDescent="0.25">
      <c r="A769">
        <v>768</v>
      </c>
      <c r="B769" s="9" t="str">
        <f>TEXT(Sales__tbl[[#This Row],[date]],"MM")</f>
        <v>03</v>
      </c>
      <c r="C769" s="13">
        <v>45736</v>
      </c>
      <c r="D769" t="str">
        <f>_xlfn.XLOOKUP(Sales__tbl[[#This Row],[customer_id]],customer_tbl[customer_id],customer_tbl[Branch_id],"Not found")</f>
        <v>E02</v>
      </c>
      <c r="E769" t="s">
        <v>1109</v>
      </c>
      <c r="F769" t="s">
        <v>956</v>
      </c>
      <c r="G769" t="s">
        <v>831</v>
      </c>
      <c r="H769">
        <v>1</v>
      </c>
      <c r="I769">
        <v>303.48</v>
      </c>
      <c r="J769">
        <v>0.15</v>
      </c>
      <c r="K769" s="3">
        <v>45.521999999999991</v>
      </c>
      <c r="L769">
        <v>257.95800000000003</v>
      </c>
      <c r="M769">
        <v>64.658000000000015</v>
      </c>
      <c r="N769" t="str">
        <f>"P. "&amp;(Sales__tbl[[#This Row],[product_id]]&amp;"."&amp;TEXT(Sales__tbl[[#This Row],[selling_price]],"0.00"))</f>
        <v>P. P.id01.303.48</v>
      </c>
    </row>
    <row r="770" spans="1:14" x14ac:dyDescent="0.25">
      <c r="A770">
        <v>769</v>
      </c>
      <c r="B770" s="9" t="str">
        <f>TEXT(Sales__tbl[[#This Row],[date]],"MM")</f>
        <v>03</v>
      </c>
      <c r="C770" s="13">
        <v>45737</v>
      </c>
      <c r="D770" t="str">
        <f>_xlfn.XLOOKUP(Sales__tbl[[#This Row],[customer_id]],customer_tbl[customer_id],customer_tbl[Branch_id],"Not found")</f>
        <v>C01</v>
      </c>
      <c r="E770" t="s">
        <v>1127</v>
      </c>
      <c r="F770" t="s">
        <v>967</v>
      </c>
      <c r="G770" t="s">
        <v>872</v>
      </c>
      <c r="H770">
        <v>2</v>
      </c>
      <c r="I770">
        <v>91.73</v>
      </c>
      <c r="J770">
        <v>0.1</v>
      </c>
      <c r="K770" s="3">
        <v>18.346000000000004</v>
      </c>
      <c r="L770">
        <v>165.114</v>
      </c>
      <c r="M770">
        <v>12.234000000000009</v>
      </c>
      <c r="N770" t="str">
        <f>"P. "&amp;(Sales__tbl[[#This Row],[product_id]]&amp;"."&amp;TEXT(Sales__tbl[[#This Row],[selling_price]],"0.00"))</f>
        <v>P. P.id12.91.73</v>
      </c>
    </row>
    <row r="771" spans="1:14" x14ac:dyDescent="0.25">
      <c r="A771">
        <v>770</v>
      </c>
      <c r="B771" s="9" t="str">
        <f>TEXT(Sales__tbl[[#This Row],[date]],"MM")</f>
        <v>03</v>
      </c>
      <c r="C771" s="13">
        <v>45738</v>
      </c>
      <c r="D771" t="str">
        <f>_xlfn.XLOOKUP(Sales__tbl[[#This Row],[customer_id]],customer_tbl[customer_id],customer_tbl[Branch_id],"Not found")</f>
        <v>N02</v>
      </c>
      <c r="E771" t="s">
        <v>1018</v>
      </c>
      <c r="F771" t="s">
        <v>961</v>
      </c>
      <c r="G771" t="s">
        <v>940</v>
      </c>
      <c r="H771">
        <v>1</v>
      </c>
      <c r="I771">
        <v>66.790000000000006</v>
      </c>
      <c r="J771">
        <v>0</v>
      </c>
      <c r="K771" s="3">
        <v>0</v>
      </c>
      <c r="L771">
        <v>66.790000000000006</v>
      </c>
      <c r="M771">
        <v>22.850000000000009</v>
      </c>
      <c r="N771" t="str">
        <f>"P. "&amp;(Sales__tbl[[#This Row],[product_id]]&amp;"."&amp;TEXT(Sales__tbl[[#This Row],[selling_price]],"0.00"))</f>
        <v>P. P.id06.66.79</v>
      </c>
    </row>
    <row r="772" spans="1:14" x14ac:dyDescent="0.25">
      <c r="A772">
        <v>771</v>
      </c>
      <c r="B772" s="9" t="str">
        <f>TEXT(Sales__tbl[[#This Row],[date]],"MM")</f>
        <v>03</v>
      </c>
      <c r="C772" s="13">
        <v>45739</v>
      </c>
      <c r="D772" t="str">
        <f>_xlfn.XLOOKUP(Sales__tbl[[#This Row],[customer_id]],customer_tbl[customer_id],customer_tbl[Branch_id],"Not found")</f>
        <v>S01</v>
      </c>
      <c r="E772" t="s">
        <v>1197</v>
      </c>
      <c r="F772" t="s">
        <v>964</v>
      </c>
      <c r="G772" t="s">
        <v>943</v>
      </c>
      <c r="H772">
        <v>1</v>
      </c>
      <c r="I772">
        <v>190.58</v>
      </c>
      <c r="J772">
        <v>0.1</v>
      </c>
      <c r="K772" s="3">
        <v>19.057999999999993</v>
      </c>
      <c r="L772">
        <v>171.52200000000002</v>
      </c>
      <c r="M772">
        <v>23.782000000000011</v>
      </c>
      <c r="N772" t="str">
        <f>"P. "&amp;(Sales__tbl[[#This Row],[product_id]]&amp;"."&amp;TEXT(Sales__tbl[[#This Row],[selling_price]],"0.00"))</f>
        <v>P. P.id09.190.58</v>
      </c>
    </row>
    <row r="773" spans="1:14" x14ac:dyDescent="0.25">
      <c r="A773">
        <v>772</v>
      </c>
      <c r="B773" s="9" t="str">
        <f>TEXT(Sales__tbl[[#This Row],[date]],"MM")</f>
        <v>03</v>
      </c>
      <c r="C773" s="13">
        <v>45740</v>
      </c>
      <c r="D773" t="str">
        <f>_xlfn.XLOOKUP(Sales__tbl[[#This Row],[customer_id]],customer_tbl[customer_id],customer_tbl[Branch_id],"Not found")</f>
        <v>S01</v>
      </c>
      <c r="E773" t="s">
        <v>1183</v>
      </c>
      <c r="F773" t="s">
        <v>963</v>
      </c>
      <c r="G773" t="s">
        <v>942</v>
      </c>
      <c r="H773">
        <v>2</v>
      </c>
      <c r="I773">
        <v>274.16000000000003</v>
      </c>
      <c r="J773">
        <v>0.2</v>
      </c>
      <c r="K773" s="3">
        <v>109.66399999999999</v>
      </c>
      <c r="L773">
        <v>438.65600000000006</v>
      </c>
      <c r="M773">
        <v>57.87600000000009</v>
      </c>
      <c r="N773" t="str">
        <f>"P. "&amp;(Sales__tbl[[#This Row],[product_id]]&amp;"."&amp;TEXT(Sales__tbl[[#This Row],[selling_price]],"0.00"))</f>
        <v>P. P.id08.274.16</v>
      </c>
    </row>
    <row r="774" spans="1:14" x14ac:dyDescent="0.25">
      <c r="A774">
        <v>773</v>
      </c>
      <c r="B774" s="9" t="str">
        <f>TEXT(Sales__tbl[[#This Row],[date]],"MM")</f>
        <v>03</v>
      </c>
      <c r="C774" s="13">
        <v>45741</v>
      </c>
      <c r="D774" t="str">
        <f>_xlfn.XLOOKUP(Sales__tbl[[#This Row],[customer_id]],customer_tbl[customer_id],customer_tbl[Branch_id],"Not found")</f>
        <v>W01</v>
      </c>
      <c r="E774" t="s">
        <v>1031</v>
      </c>
      <c r="F774" t="s">
        <v>961</v>
      </c>
      <c r="G774" t="s">
        <v>940</v>
      </c>
      <c r="H774">
        <v>1</v>
      </c>
      <c r="I774">
        <v>66.790000000000006</v>
      </c>
      <c r="J774">
        <v>0</v>
      </c>
      <c r="K774" s="3">
        <v>0</v>
      </c>
      <c r="L774">
        <v>66.790000000000006</v>
      </c>
      <c r="M774">
        <v>22.850000000000009</v>
      </c>
      <c r="N774" t="str">
        <f>"P. "&amp;(Sales__tbl[[#This Row],[product_id]]&amp;"."&amp;TEXT(Sales__tbl[[#This Row],[selling_price]],"0.00"))</f>
        <v>P. P.id06.66.79</v>
      </c>
    </row>
    <row r="775" spans="1:14" x14ac:dyDescent="0.25">
      <c r="A775">
        <v>774</v>
      </c>
      <c r="B775" s="9" t="str">
        <f>TEXT(Sales__tbl[[#This Row],[date]],"MM")</f>
        <v>03</v>
      </c>
      <c r="C775" s="13">
        <v>45742</v>
      </c>
      <c r="D775" t="str">
        <f>_xlfn.XLOOKUP(Sales__tbl[[#This Row],[customer_id]],customer_tbl[customer_id],customer_tbl[Branch_id],"Not found")</f>
        <v>W02</v>
      </c>
      <c r="E775" t="s">
        <v>1186</v>
      </c>
      <c r="F775" t="s">
        <v>962</v>
      </c>
      <c r="G775" t="s">
        <v>941</v>
      </c>
      <c r="H775">
        <v>1</v>
      </c>
      <c r="I775">
        <v>259.11</v>
      </c>
      <c r="J775">
        <v>0.1</v>
      </c>
      <c r="K775" s="3">
        <v>25.911000000000001</v>
      </c>
      <c r="L775">
        <v>233.19900000000001</v>
      </c>
      <c r="M775">
        <v>59.299000000000007</v>
      </c>
      <c r="N775" t="str">
        <f>"P. "&amp;(Sales__tbl[[#This Row],[product_id]]&amp;"."&amp;TEXT(Sales__tbl[[#This Row],[selling_price]],"0.00"))</f>
        <v>P. P.id07.259.11</v>
      </c>
    </row>
    <row r="776" spans="1:14" x14ac:dyDescent="0.25">
      <c r="A776">
        <v>775</v>
      </c>
      <c r="B776" s="9" t="str">
        <f>TEXT(Sales__tbl[[#This Row],[date]],"MM")</f>
        <v>03</v>
      </c>
      <c r="C776" s="13">
        <v>45743</v>
      </c>
      <c r="D776" t="str">
        <f>_xlfn.XLOOKUP(Sales__tbl[[#This Row],[customer_id]],customer_tbl[customer_id],customer_tbl[Branch_id],"Not found")</f>
        <v>N01</v>
      </c>
      <c r="E776" t="s">
        <v>1027</v>
      </c>
      <c r="F776" t="s">
        <v>957</v>
      </c>
      <c r="G776" t="s">
        <v>833</v>
      </c>
      <c r="H776">
        <v>2</v>
      </c>
      <c r="I776">
        <v>55.26</v>
      </c>
      <c r="J776">
        <v>0</v>
      </c>
      <c r="K776" s="3">
        <v>0</v>
      </c>
      <c r="L776">
        <v>110.52</v>
      </c>
      <c r="M776">
        <v>39.679999999999993</v>
      </c>
      <c r="N776" t="str">
        <f>"P. "&amp;(Sales__tbl[[#This Row],[product_id]]&amp;"."&amp;TEXT(Sales__tbl[[#This Row],[selling_price]],"0.00"))</f>
        <v>P. P.id02.55.26</v>
      </c>
    </row>
    <row r="777" spans="1:14" x14ac:dyDescent="0.25">
      <c r="A777">
        <v>776</v>
      </c>
      <c r="B777" s="9" t="str">
        <f>TEXT(Sales__tbl[[#This Row],[date]],"MM")</f>
        <v>03</v>
      </c>
      <c r="C777" s="13">
        <v>45744</v>
      </c>
      <c r="D777" t="str">
        <f>_xlfn.XLOOKUP(Sales__tbl[[#This Row],[customer_id]],customer_tbl[customer_id],customer_tbl[Branch_id],"Not found")</f>
        <v>E01</v>
      </c>
      <c r="E777" t="s">
        <v>1084</v>
      </c>
      <c r="F777" t="s">
        <v>967</v>
      </c>
      <c r="G777" t="s">
        <v>872</v>
      </c>
      <c r="H777">
        <v>3</v>
      </c>
      <c r="I777">
        <v>91.73</v>
      </c>
      <c r="J777">
        <v>0.1</v>
      </c>
      <c r="K777" s="3">
        <v>27.519000000000005</v>
      </c>
      <c r="L777">
        <v>247.67099999999999</v>
      </c>
      <c r="M777">
        <v>18.350999999999999</v>
      </c>
      <c r="N777" t="str">
        <f>"P. "&amp;(Sales__tbl[[#This Row],[product_id]]&amp;"."&amp;TEXT(Sales__tbl[[#This Row],[selling_price]],"0.00"))</f>
        <v>P. P.id12.91.73</v>
      </c>
    </row>
    <row r="778" spans="1:14" x14ac:dyDescent="0.25">
      <c r="A778">
        <v>777</v>
      </c>
      <c r="B778" s="9" t="str">
        <f>TEXT(Sales__tbl[[#This Row],[date]],"MM")</f>
        <v>03</v>
      </c>
      <c r="C778" s="13">
        <v>45745</v>
      </c>
      <c r="D778" t="str">
        <f>_xlfn.XLOOKUP(Sales__tbl[[#This Row],[customer_id]],customer_tbl[customer_id],customer_tbl[Branch_id],"Not found")</f>
        <v>S02</v>
      </c>
      <c r="E778" t="s">
        <v>1093</v>
      </c>
      <c r="F778" t="s">
        <v>966</v>
      </c>
      <c r="G778" t="s">
        <v>851</v>
      </c>
      <c r="H778">
        <v>1</v>
      </c>
      <c r="I778">
        <v>196.75</v>
      </c>
      <c r="J778">
        <v>0.1</v>
      </c>
      <c r="K778" s="3">
        <v>19.674999999999983</v>
      </c>
      <c r="L778">
        <v>177.07500000000002</v>
      </c>
      <c r="M778">
        <v>20.925000000000011</v>
      </c>
      <c r="N778" t="str">
        <f>"P. "&amp;(Sales__tbl[[#This Row],[product_id]]&amp;"."&amp;TEXT(Sales__tbl[[#This Row],[selling_price]],"0.00"))</f>
        <v>P. P.id11.196.75</v>
      </c>
    </row>
    <row r="779" spans="1:14" x14ac:dyDescent="0.25">
      <c r="A779">
        <v>778</v>
      </c>
      <c r="B779" s="9" t="str">
        <f>TEXT(Sales__tbl[[#This Row],[date]],"MM")</f>
        <v>03</v>
      </c>
      <c r="C779" s="13">
        <v>45746</v>
      </c>
      <c r="D779" t="str">
        <f>_xlfn.XLOOKUP(Sales__tbl[[#This Row],[customer_id]],customer_tbl[customer_id],customer_tbl[Branch_id],"Not found")</f>
        <v>W01</v>
      </c>
      <c r="E779" t="s">
        <v>1062</v>
      </c>
      <c r="F779" t="s">
        <v>967</v>
      </c>
      <c r="G779" t="s">
        <v>872</v>
      </c>
      <c r="H779">
        <v>1</v>
      </c>
      <c r="I779">
        <v>91.73</v>
      </c>
      <c r="J779">
        <v>0</v>
      </c>
      <c r="K779" s="3">
        <v>0</v>
      </c>
      <c r="L779">
        <v>91.73</v>
      </c>
      <c r="M779">
        <v>15.290000000000006</v>
      </c>
      <c r="N779" t="str">
        <f>"P. "&amp;(Sales__tbl[[#This Row],[product_id]]&amp;"."&amp;TEXT(Sales__tbl[[#This Row],[selling_price]],"0.00"))</f>
        <v>P. P.id12.91.73</v>
      </c>
    </row>
    <row r="780" spans="1:14" x14ac:dyDescent="0.25">
      <c r="A780">
        <v>779</v>
      </c>
      <c r="B780" s="9" t="str">
        <f>TEXT(Sales__tbl[[#This Row],[date]],"MM")</f>
        <v>03</v>
      </c>
      <c r="C780" s="13">
        <v>45747</v>
      </c>
      <c r="D780" t="str">
        <f>_xlfn.XLOOKUP(Sales__tbl[[#This Row],[customer_id]],customer_tbl[customer_id],customer_tbl[Branch_id],"Not found")</f>
        <v>E01</v>
      </c>
      <c r="E780" t="s">
        <v>1169</v>
      </c>
      <c r="F780" t="s">
        <v>957</v>
      </c>
      <c r="G780" t="s">
        <v>833</v>
      </c>
      <c r="H780">
        <v>1</v>
      </c>
      <c r="I780">
        <v>55.26</v>
      </c>
      <c r="J780">
        <v>0</v>
      </c>
      <c r="K780" s="3">
        <v>0</v>
      </c>
      <c r="L780">
        <v>55.26</v>
      </c>
      <c r="M780">
        <v>19.839999999999996</v>
      </c>
      <c r="N780" t="str">
        <f>"P. "&amp;(Sales__tbl[[#This Row],[product_id]]&amp;"."&amp;TEXT(Sales__tbl[[#This Row],[selling_price]],"0.00"))</f>
        <v>P. P.id02.55.26</v>
      </c>
    </row>
    <row r="781" spans="1:14" x14ac:dyDescent="0.25">
      <c r="A781">
        <v>780</v>
      </c>
      <c r="B781" s="9" t="str">
        <f>TEXT(Sales__tbl[[#This Row],[date]],"MM")</f>
        <v>04</v>
      </c>
      <c r="C781" s="13">
        <v>45748</v>
      </c>
      <c r="D781" t="str">
        <f>_xlfn.XLOOKUP(Sales__tbl[[#This Row],[customer_id]],customer_tbl[customer_id],customer_tbl[Branch_id],"Not found")</f>
        <v>W02</v>
      </c>
      <c r="E781" t="s">
        <v>1123</v>
      </c>
      <c r="F781" t="s">
        <v>966</v>
      </c>
      <c r="G781" t="s">
        <v>851</v>
      </c>
      <c r="H781">
        <v>1</v>
      </c>
      <c r="I781">
        <v>196.75</v>
      </c>
      <c r="J781">
        <v>0.1</v>
      </c>
      <c r="K781" s="3">
        <v>19.674999999999983</v>
      </c>
      <c r="L781">
        <v>177.07500000000002</v>
      </c>
      <c r="M781">
        <v>20.925000000000011</v>
      </c>
      <c r="N781" t="str">
        <f>"P. "&amp;(Sales__tbl[[#This Row],[product_id]]&amp;"."&amp;TEXT(Sales__tbl[[#This Row],[selling_price]],"0.00"))</f>
        <v>P. P.id11.196.75</v>
      </c>
    </row>
    <row r="782" spans="1:14" x14ac:dyDescent="0.25">
      <c r="A782">
        <v>781</v>
      </c>
      <c r="B782" s="9" t="str">
        <f>TEXT(Sales__tbl[[#This Row],[date]],"MM")</f>
        <v>04</v>
      </c>
      <c r="C782" s="13">
        <v>45749</v>
      </c>
      <c r="D782" t="str">
        <f>_xlfn.XLOOKUP(Sales__tbl[[#This Row],[customer_id]],customer_tbl[customer_id],customer_tbl[Branch_id],"Not found")</f>
        <v>S01</v>
      </c>
      <c r="E782" t="s">
        <v>989</v>
      </c>
      <c r="F782" t="s">
        <v>956</v>
      </c>
      <c r="G782" t="s">
        <v>831</v>
      </c>
      <c r="H782">
        <v>1</v>
      </c>
      <c r="I782">
        <v>303.48</v>
      </c>
      <c r="J782">
        <v>0.15</v>
      </c>
      <c r="K782" s="3">
        <v>45.521999999999991</v>
      </c>
      <c r="L782">
        <v>257.95800000000003</v>
      </c>
      <c r="M782">
        <v>64.658000000000015</v>
      </c>
      <c r="N782" t="str">
        <f>"P. "&amp;(Sales__tbl[[#This Row],[product_id]]&amp;"."&amp;TEXT(Sales__tbl[[#This Row],[selling_price]],"0.00"))</f>
        <v>P. P.id01.303.48</v>
      </c>
    </row>
    <row r="783" spans="1:14" x14ac:dyDescent="0.25">
      <c r="A783">
        <v>782</v>
      </c>
      <c r="B783" s="9" t="str">
        <f>TEXT(Sales__tbl[[#This Row],[date]],"MM")</f>
        <v>04</v>
      </c>
      <c r="C783" s="13">
        <v>45750</v>
      </c>
      <c r="D783" t="str">
        <f>_xlfn.XLOOKUP(Sales__tbl[[#This Row],[customer_id]],customer_tbl[customer_id],customer_tbl[Branch_id],"Not found")</f>
        <v>S01</v>
      </c>
      <c r="E783" t="s">
        <v>1076</v>
      </c>
      <c r="F783" t="s">
        <v>965</v>
      </c>
      <c r="G783" t="s">
        <v>847</v>
      </c>
      <c r="H783">
        <v>1</v>
      </c>
      <c r="I783">
        <v>168</v>
      </c>
      <c r="J783">
        <v>0.1</v>
      </c>
      <c r="K783" s="3">
        <v>16.799999999999983</v>
      </c>
      <c r="L783">
        <v>151.20000000000002</v>
      </c>
      <c r="M783">
        <v>29.460000000000022</v>
      </c>
      <c r="N783" t="str">
        <f>"P. "&amp;(Sales__tbl[[#This Row],[product_id]]&amp;"."&amp;TEXT(Sales__tbl[[#This Row],[selling_price]],"0.00"))</f>
        <v>P. P.id10.168.00</v>
      </c>
    </row>
    <row r="784" spans="1:14" x14ac:dyDescent="0.25">
      <c r="A784">
        <v>783</v>
      </c>
      <c r="B784" s="9" t="str">
        <f>TEXT(Sales__tbl[[#This Row],[date]],"MM")</f>
        <v>04</v>
      </c>
      <c r="C784" s="13">
        <v>45751</v>
      </c>
      <c r="D784" t="str">
        <f>_xlfn.XLOOKUP(Sales__tbl[[#This Row],[customer_id]],customer_tbl[customer_id],customer_tbl[Branch_id],"Not found")</f>
        <v>W02</v>
      </c>
      <c r="E784" t="s">
        <v>1046</v>
      </c>
      <c r="F784" t="s">
        <v>959</v>
      </c>
      <c r="G784" t="s">
        <v>837</v>
      </c>
      <c r="H784">
        <v>1</v>
      </c>
      <c r="I784">
        <v>11.53</v>
      </c>
      <c r="J784">
        <v>0</v>
      </c>
      <c r="K784" s="3">
        <v>0</v>
      </c>
      <c r="L784">
        <v>11.53</v>
      </c>
      <c r="M784">
        <v>2.5199999999999996</v>
      </c>
      <c r="N784" t="str">
        <f>"P. "&amp;(Sales__tbl[[#This Row],[product_id]]&amp;"."&amp;TEXT(Sales__tbl[[#This Row],[selling_price]],"0.00"))</f>
        <v>P. P.id04.11.53</v>
      </c>
    </row>
    <row r="785" spans="1:14" x14ac:dyDescent="0.25">
      <c r="A785">
        <v>784</v>
      </c>
      <c r="B785" s="9" t="str">
        <f>TEXT(Sales__tbl[[#This Row],[date]],"MM")</f>
        <v>04</v>
      </c>
      <c r="C785" s="13">
        <v>45752</v>
      </c>
      <c r="D785" t="str">
        <f>_xlfn.XLOOKUP(Sales__tbl[[#This Row],[customer_id]],customer_tbl[customer_id],customer_tbl[Branch_id],"Not found")</f>
        <v>C01</v>
      </c>
      <c r="E785" t="s">
        <v>1152</v>
      </c>
      <c r="F785" t="s">
        <v>966</v>
      </c>
      <c r="G785" t="s">
        <v>851</v>
      </c>
      <c r="H785">
        <v>1</v>
      </c>
      <c r="I785">
        <v>196.75</v>
      </c>
      <c r="J785">
        <v>0.1</v>
      </c>
      <c r="K785" s="3">
        <v>19.674999999999983</v>
      </c>
      <c r="L785">
        <v>177.07500000000002</v>
      </c>
      <c r="M785">
        <v>20.925000000000011</v>
      </c>
      <c r="N785" t="str">
        <f>"P. "&amp;(Sales__tbl[[#This Row],[product_id]]&amp;"."&amp;TEXT(Sales__tbl[[#This Row],[selling_price]],"0.00"))</f>
        <v>P. P.id11.196.75</v>
      </c>
    </row>
    <row r="786" spans="1:14" x14ac:dyDescent="0.25">
      <c r="A786">
        <v>785</v>
      </c>
      <c r="B786" s="9" t="str">
        <f>TEXT(Sales__tbl[[#This Row],[date]],"MM")</f>
        <v>04</v>
      </c>
      <c r="C786" s="13">
        <v>45753</v>
      </c>
      <c r="D786" t="str">
        <f>_xlfn.XLOOKUP(Sales__tbl[[#This Row],[customer_id]],customer_tbl[customer_id],customer_tbl[Branch_id],"Not found")</f>
        <v>N02</v>
      </c>
      <c r="E786" t="s">
        <v>1038</v>
      </c>
      <c r="F786" t="s">
        <v>964</v>
      </c>
      <c r="G786" t="s">
        <v>943</v>
      </c>
      <c r="H786">
        <v>1</v>
      </c>
      <c r="I786">
        <v>190.58</v>
      </c>
      <c r="J786">
        <v>0.1</v>
      </c>
      <c r="K786" s="3">
        <v>19.057999999999993</v>
      </c>
      <c r="L786">
        <v>171.52200000000002</v>
      </c>
      <c r="M786">
        <v>23.782000000000011</v>
      </c>
      <c r="N786" t="str">
        <f>"P. "&amp;(Sales__tbl[[#This Row],[product_id]]&amp;"."&amp;TEXT(Sales__tbl[[#This Row],[selling_price]],"0.00"))</f>
        <v>P. P.id09.190.58</v>
      </c>
    </row>
    <row r="787" spans="1:14" x14ac:dyDescent="0.25">
      <c r="A787">
        <v>786</v>
      </c>
      <c r="B787" s="9" t="str">
        <f>TEXT(Sales__tbl[[#This Row],[date]],"MM")</f>
        <v>04</v>
      </c>
      <c r="C787" s="13">
        <v>45754</v>
      </c>
      <c r="D787" t="str">
        <f>_xlfn.XLOOKUP(Sales__tbl[[#This Row],[customer_id]],customer_tbl[customer_id],customer_tbl[Branch_id],"Not found")</f>
        <v>N01</v>
      </c>
      <c r="E787" t="s">
        <v>1069</v>
      </c>
      <c r="F787" t="s">
        <v>963</v>
      </c>
      <c r="G787" t="s">
        <v>942</v>
      </c>
      <c r="H787">
        <v>1</v>
      </c>
      <c r="I787">
        <v>274.16000000000003</v>
      </c>
      <c r="J787">
        <v>0.1</v>
      </c>
      <c r="K787" s="3">
        <v>27.415999999999997</v>
      </c>
      <c r="L787">
        <v>246.74400000000003</v>
      </c>
      <c r="M787">
        <v>56.354000000000042</v>
      </c>
      <c r="N787" t="str">
        <f>"P. "&amp;(Sales__tbl[[#This Row],[product_id]]&amp;"."&amp;TEXT(Sales__tbl[[#This Row],[selling_price]],"0.00"))</f>
        <v>P. P.id08.274.16</v>
      </c>
    </row>
    <row r="788" spans="1:14" x14ac:dyDescent="0.25">
      <c r="A788">
        <v>787</v>
      </c>
      <c r="B788" s="9" t="str">
        <f>TEXT(Sales__tbl[[#This Row],[date]],"MM")</f>
        <v>04</v>
      </c>
      <c r="C788" s="13">
        <v>45755</v>
      </c>
      <c r="D788" t="str">
        <f>_xlfn.XLOOKUP(Sales__tbl[[#This Row],[customer_id]],customer_tbl[customer_id],customer_tbl[Branch_id],"Not found")</f>
        <v>C01</v>
      </c>
      <c r="E788" t="s">
        <v>1155</v>
      </c>
      <c r="F788" t="s">
        <v>960</v>
      </c>
      <c r="G788" t="s">
        <v>839</v>
      </c>
      <c r="H788">
        <v>1</v>
      </c>
      <c r="I788">
        <v>165.45</v>
      </c>
      <c r="J788">
        <v>0.1</v>
      </c>
      <c r="K788" s="3">
        <v>16.544999999999987</v>
      </c>
      <c r="L788">
        <v>148.905</v>
      </c>
      <c r="M788">
        <v>25.435000000000002</v>
      </c>
      <c r="N788" t="str">
        <f>"P. "&amp;(Sales__tbl[[#This Row],[product_id]]&amp;"."&amp;TEXT(Sales__tbl[[#This Row],[selling_price]],"0.00"))</f>
        <v>P. P.id05.165.45</v>
      </c>
    </row>
    <row r="789" spans="1:14" x14ac:dyDescent="0.25">
      <c r="A789">
        <v>788</v>
      </c>
      <c r="B789" s="9" t="str">
        <f>TEXT(Sales__tbl[[#This Row],[date]],"MM")</f>
        <v>04</v>
      </c>
      <c r="C789" s="13">
        <v>45756</v>
      </c>
      <c r="D789" t="str">
        <f>_xlfn.XLOOKUP(Sales__tbl[[#This Row],[customer_id]],customer_tbl[customer_id],customer_tbl[Branch_id],"Not found")</f>
        <v>S01</v>
      </c>
      <c r="E789" t="s">
        <v>1107</v>
      </c>
      <c r="F789" t="s">
        <v>961</v>
      </c>
      <c r="G789" t="s">
        <v>940</v>
      </c>
      <c r="H789">
        <v>1</v>
      </c>
      <c r="I789">
        <v>66.790000000000006</v>
      </c>
      <c r="J789">
        <v>0</v>
      </c>
      <c r="K789" s="3">
        <v>0</v>
      </c>
      <c r="L789">
        <v>66.790000000000006</v>
      </c>
      <c r="M789">
        <v>22.850000000000009</v>
      </c>
      <c r="N789" t="str">
        <f>"P. "&amp;(Sales__tbl[[#This Row],[product_id]]&amp;"."&amp;TEXT(Sales__tbl[[#This Row],[selling_price]],"0.00"))</f>
        <v>P. P.id06.66.79</v>
      </c>
    </row>
    <row r="790" spans="1:14" x14ac:dyDescent="0.25">
      <c r="A790">
        <v>789</v>
      </c>
      <c r="B790" s="9" t="str">
        <f>TEXT(Sales__tbl[[#This Row],[date]],"MM")</f>
        <v>04</v>
      </c>
      <c r="C790" s="13">
        <v>45757</v>
      </c>
      <c r="D790" t="str">
        <f>_xlfn.XLOOKUP(Sales__tbl[[#This Row],[customer_id]],customer_tbl[customer_id],customer_tbl[Branch_id],"Not found")</f>
        <v>W01</v>
      </c>
      <c r="E790" t="s">
        <v>1049</v>
      </c>
      <c r="F790" t="s">
        <v>964</v>
      </c>
      <c r="G790" t="s">
        <v>943</v>
      </c>
      <c r="H790">
        <v>1</v>
      </c>
      <c r="I790">
        <v>190.58</v>
      </c>
      <c r="J790">
        <v>0.1</v>
      </c>
      <c r="K790" s="3">
        <v>19.057999999999993</v>
      </c>
      <c r="L790">
        <v>171.52200000000002</v>
      </c>
      <c r="M790">
        <v>23.782000000000011</v>
      </c>
      <c r="N790" t="str">
        <f>"P. "&amp;(Sales__tbl[[#This Row],[product_id]]&amp;"."&amp;TEXT(Sales__tbl[[#This Row],[selling_price]],"0.00"))</f>
        <v>P. P.id09.190.58</v>
      </c>
    </row>
    <row r="791" spans="1:14" x14ac:dyDescent="0.25">
      <c r="A791">
        <v>790</v>
      </c>
      <c r="B791" s="9" t="str">
        <f>TEXT(Sales__tbl[[#This Row],[date]],"MM")</f>
        <v>04</v>
      </c>
      <c r="C791" s="13">
        <v>45758</v>
      </c>
      <c r="D791" t="str">
        <f>_xlfn.XLOOKUP(Sales__tbl[[#This Row],[customer_id]],customer_tbl[customer_id],customer_tbl[Branch_id],"Not found")</f>
        <v>E02</v>
      </c>
      <c r="E791" t="s">
        <v>1109</v>
      </c>
      <c r="F791" t="s">
        <v>959</v>
      </c>
      <c r="G791" t="s">
        <v>837</v>
      </c>
      <c r="H791">
        <v>1</v>
      </c>
      <c r="I791">
        <v>11.53</v>
      </c>
      <c r="J791">
        <v>0</v>
      </c>
      <c r="K791" s="3">
        <v>0</v>
      </c>
      <c r="L791">
        <v>11.53</v>
      </c>
      <c r="M791">
        <v>2.5199999999999996</v>
      </c>
      <c r="N791" t="str">
        <f>"P. "&amp;(Sales__tbl[[#This Row],[product_id]]&amp;"."&amp;TEXT(Sales__tbl[[#This Row],[selling_price]],"0.00"))</f>
        <v>P. P.id04.11.53</v>
      </c>
    </row>
    <row r="792" spans="1:14" x14ac:dyDescent="0.25">
      <c r="A792">
        <v>791</v>
      </c>
      <c r="B792" s="9" t="str">
        <f>TEXT(Sales__tbl[[#This Row],[date]],"MM")</f>
        <v>04</v>
      </c>
      <c r="C792" s="13">
        <v>45759</v>
      </c>
      <c r="D792" t="str">
        <f>_xlfn.XLOOKUP(Sales__tbl[[#This Row],[customer_id]],customer_tbl[customer_id],customer_tbl[Branch_id],"Not found")</f>
        <v>C01</v>
      </c>
      <c r="E792" t="s">
        <v>1155</v>
      </c>
      <c r="F792" t="s">
        <v>958</v>
      </c>
      <c r="G792" t="s">
        <v>939</v>
      </c>
      <c r="H792">
        <v>1</v>
      </c>
      <c r="I792">
        <v>90.53</v>
      </c>
      <c r="J792">
        <v>0</v>
      </c>
      <c r="K792" s="3">
        <v>0</v>
      </c>
      <c r="L792">
        <v>90.53</v>
      </c>
      <c r="M792">
        <v>12.489999999999995</v>
      </c>
      <c r="N792" t="str">
        <f>"P. "&amp;(Sales__tbl[[#This Row],[product_id]]&amp;"."&amp;TEXT(Sales__tbl[[#This Row],[selling_price]],"0.00"))</f>
        <v>P. P.id03.90.53</v>
      </c>
    </row>
    <row r="793" spans="1:14" x14ac:dyDescent="0.25">
      <c r="A793">
        <v>792</v>
      </c>
      <c r="B793" s="9" t="str">
        <f>TEXT(Sales__tbl[[#This Row],[date]],"MM")</f>
        <v>04</v>
      </c>
      <c r="C793" s="13">
        <v>45760</v>
      </c>
      <c r="D793" t="str">
        <f>_xlfn.XLOOKUP(Sales__tbl[[#This Row],[customer_id]],customer_tbl[customer_id],customer_tbl[Branch_id],"Not found")</f>
        <v>E02</v>
      </c>
      <c r="E793" t="s">
        <v>1158</v>
      </c>
      <c r="F793" t="s">
        <v>960</v>
      </c>
      <c r="G793" t="s">
        <v>839</v>
      </c>
      <c r="H793">
        <v>1</v>
      </c>
      <c r="I793">
        <v>165.45</v>
      </c>
      <c r="J793">
        <v>0.1</v>
      </c>
      <c r="K793" s="3">
        <v>16.544999999999987</v>
      </c>
      <c r="L793">
        <v>148.905</v>
      </c>
      <c r="M793">
        <v>25.435000000000002</v>
      </c>
      <c r="N793" t="str">
        <f>"P. "&amp;(Sales__tbl[[#This Row],[product_id]]&amp;"."&amp;TEXT(Sales__tbl[[#This Row],[selling_price]],"0.00"))</f>
        <v>P. P.id05.165.45</v>
      </c>
    </row>
    <row r="794" spans="1:14" x14ac:dyDescent="0.25">
      <c r="A794">
        <v>793</v>
      </c>
      <c r="B794" s="9" t="str">
        <f>TEXT(Sales__tbl[[#This Row],[date]],"MM")</f>
        <v>04</v>
      </c>
      <c r="C794" s="13">
        <v>45761</v>
      </c>
      <c r="D794" t="str">
        <f>_xlfn.XLOOKUP(Sales__tbl[[#This Row],[customer_id]],customer_tbl[customer_id],customer_tbl[Branch_id],"Not found")</f>
        <v>W01</v>
      </c>
      <c r="E794" t="s">
        <v>1051</v>
      </c>
      <c r="F794" t="s">
        <v>964</v>
      </c>
      <c r="G794" t="s">
        <v>943</v>
      </c>
      <c r="H794">
        <v>1</v>
      </c>
      <c r="I794">
        <v>190.58</v>
      </c>
      <c r="J794">
        <v>0.1</v>
      </c>
      <c r="K794" s="3">
        <v>19.057999999999993</v>
      </c>
      <c r="L794">
        <v>171.52200000000002</v>
      </c>
      <c r="M794">
        <v>23.782000000000011</v>
      </c>
      <c r="N794" t="str">
        <f>"P. "&amp;(Sales__tbl[[#This Row],[product_id]]&amp;"."&amp;TEXT(Sales__tbl[[#This Row],[selling_price]],"0.00"))</f>
        <v>P. P.id09.190.58</v>
      </c>
    </row>
    <row r="795" spans="1:14" x14ac:dyDescent="0.25">
      <c r="A795">
        <v>794</v>
      </c>
      <c r="B795" s="9" t="str">
        <f>TEXT(Sales__tbl[[#This Row],[date]],"MM")</f>
        <v>04</v>
      </c>
      <c r="C795" s="13">
        <v>45762</v>
      </c>
      <c r="D795" t="str">
        <f>_xlfn.XLOOKUP(Sales__tbl[[#This Row],[customer_id]],customer_tbl[customer_id],customer_tbl[Branch_id],"Not found")</f>
        <v>E02</v>
      </c>
      <c r="E795" t="s">
        <v>1065</v>
      </c>
      <c r="F795" t="s">
        <v>967</v>
      </c>
      <c r="G795" t="s">
        <v>872</v>
      </c>
      <c r="H795">
        <v>1</v>
      </c>
      <c r="I795">
        <v>91.73</v>
      </c>
      <c r="J795">
        <v>0</v>
      </c>
      <c r="K795" s="3">
        <v>0</v>
      </c>
      <c r="L795">
        <v>91.73</v>
      </c>
      <c r="M795">
        <v>15.290000000000006</v>
      </c>
      <c r="N795" t="str">
        <f>"P. "&amp;(Sales__tbl[[#This Row],[product_id]]&amp;"."&amp;TEXT(Sales__tbl[[#This Row],[selling_price]],"0.00"))</f>
        <v>P. P.id12.91.73</v>
      </c>
    </row>
    <row r="796" spans="1:14" x14ac:dyDescent="0.25">
      <c r="A796">
        <v>795</v>
      </c>
      <c r="B796" s="9" t="str">
        <f>TEXT(Sales__tbl[[#This Row],[date]],"MM")</f>
        <v>04</v>
      </c>
      <c r="C796" s="13">
        <v>45763</v>
      </c>
      <c r="D796" t="str">
        <f>_xlfn.XLOOKUP(Sales__tbl[[#This Row],[customer_id]],customer_tbl[customer_id],customer_tbl[Branch_id],"Not found")</f>
        <v>N01</v>
      </c>
      <c r="E796" t="s">
        <v>1164</v>
      </c>
      <c r="F796" t="s">
        <v>964</v>
      </c>
      <c r="G796" t="s">
        <v>943</v>
      </c>
      <c r="H796">
        <v>1</v>
      </c>
      <c r="I796">
        <v>190.58</v>
      </c>
      <c r="J796">
        <v>0.1</v>
      </c>
      <c r="K796" s="3">
        <v>19.057999999999993</v>
      </c>
      <c r="L796">
        <v>171.52200000000002</v>
      </c>
      <c r="M796">
        <v>23.782000000000011</v>
      </c>
      <c r="N796" t="str">
        <f>"P. "&amp;(Sales__tbl[[#This Row],[product_id]]&amp;"."&amp;TEXT(Sales__tbl[[#This Row],[selling_price]],"0.00"))</f>
        <v>P. P.id09.190.58</v>
      </c>
    </row>
    <row r="797" spans="1:14" x14ac:dyDescent="0.25">
      <c r="A797">
        <v>796</v>
      </c>
      <c r="B797" s="9" t="str">
        <f>TEXT(Sales__tbl[[#This Row],[date]],"MM")</f>
        <v>04</v>
      </c>
      <c r="C797" s="13">
        <v>45764</v>
      </c>
      <c r="D797" t="str">
        <f>_xlfn.XLOOKUP(Sales__tbl[[#This Row],[customer_id]],customer_tbl[customer_id],customer_tbl[Branch_id],"Not found")</f>
        <v>W01</v>
      </c>
      <c r="E797" t="s">
        <v>1082</v>
      </c>
      <c r="F797" t="s">
        <v>959</v>
      </c>
      <c r="G797" t="s">
        <v>837</v>
      </c>
      <c r="H797">
        <v>1</v>
      </c>
      <c r="I797">
        <v>11.53</v>
      </c>
      <c r="J797">
        <v>0</v>
      </c>
      <c r="K797" s="3">
        <v>0</v>
      </c>
      <c r="L797">
        <v>11.53</v>
      </c>
      <c r="M797">
        <v>2.5199999999999996</v>
      </c>
      <c r="N797" t="str">
        <f>"P. "&amp;(Sales__tbl[[#This Row],[product_id]]&amp;"."&amp;TEXT(Sales__tbl[[#This Row],[selling_price]],"0.00"))</f>
        <v>P. P.id04.11.53</v>
      </c>
    </row>
    <row r="798" spans="1:14" x14ac:dyDescent="0.25">
      <c r="A798">
        <v>797</v>
      </c>
      <c r="B798" s="9" t="str">
        <f>TEXT(Sales__tbl[[#This Row],[date]],"MM")</f>
        <v>04</v>
      </c>
      <c r="C798" s="13">
        <v>45765</v>
      </c>
      <c r="D798" t="str">
        <f>_xlfn.XLOOKUP(Sales__tbl[[#This Row],[customer_id]],customer_tbl[customer_id],customer_tbl[Branch_id],"Not found")</f>
        <v>W01</v>
      </c>
      <c r="E798" t="s">
        <v>1082</v>
      </c>
      <c r="F798" t="s">
        <v>961</v>
      </c>
      <c r="G798" t="s">
        <v>940</v>
      </c>
      <c r="H798">
        <v>2</v>
      </c>
      <c r="I798">
        <v>66.790000000000006</v>
      </c>
      <c r="J798">
        <v>0</v>
      </c>
      <c r="K798" s="3">
        <v>0</v>
      </c>
      <c r="L798">
        <v>133.58000000000001</v>
      </c>
      <c r="M798">
        <v>45.700000000000017</v>
      </c>
      <c r="N798" t="str">
        <f>"P. "&amp;(Sales__tbl[[#This Row],[product_id]]&amp;"."&amp;TEXT(Sales__tbl[[#This Row],[selling_price]],"0.00"))</f>
        <v>P. P.id06.66.79</v>
      </c>
    </row>
    <row r="799" spans="1:14" x14ac:dyDescent="0.25">
      <c r="A799">
        <v>798</v>
      </c>
      <c r="B799" s="9" t="str">
        <f>TEXT(Sales__tbl[[#This Row],[date]],"MM")</f>
        <v>04</v>
      </c>
      <c r="C799" s="13">
        <v>45766</v>
      </c>
      <c r="D799" t="str">
        <f>_xlfn.XLOOKUP(Sales__tbl[[#This Row],[customer_id]],customer_tbl[customer_id],customer_tbl[Branch_id],"Not found")</f>
        <v>W02</v>
      </c>
      <c r="E799" t="s">
        <v>1080</v>
      </c>
      <c r="F799" t="s">
        <v>964</v>
      </c>
      <c r="G799" t="s">
        <v>943</v>
      </c>
      <c r="H799">
        <v>1</v>
      </c>
      <c r="I799">
        <v>190.58</v>
      </c>
      <c r="J799">
        <v>0.1</v>
      </c>
      <c r="K799" s="3">
        <v>19.057999999999993</v>
      </c>
      <c r="L799">
        <v>171.52200000000002</v>
      </c>
      <c r="M799">
        <v>23.782000000000011</v>
      </c>
      <c r="N799" t="str">
        <f>"P. "&amp;(Sales__tbl[[#This Row],[product_id]]&amp;"."&amp;TEXT(Sales__tbl[[#This Row],[selling_price]],"0.00"))</f>
        <v>P. P.id09.190.58</v>
      </c>
    </row>
    <row r="800" spans="1:14" x14ac:dyDescent="0.25">
      <c r="A800">
        <v>799</v>
      </c>
      <c r="B800" s="9" t="str">
        <f>TEXT(Sales__tbl[[#This Row],[date]],"MM")</f>
        <v>04</v>
      </c>
      <c r="C800" s="13">
        <v>45767</v>
      </c>
      <c r="D800" t="str">
        <f>_xlfn.XLOOKUP(Sales__tbl[[#This Row],[customer_id]],customer_tbl[customer_id],customer_tbl[Branch_id],"Not found")</f>
        <v>W01</v>
      </c>
      <c r="E800" t="s">
        <v>1059</v>
      </c>
      <c r="F800" t="s">
        <v>967</v>
      </c>
      <c r="G800" t="s">
        <v>872</v>
      </c>
      <c r="H800">
        <v>1</v>
      </c>
      <c r="I800">
        <v>91.73</v>
      </c>
      <c r="J800">
        <v>0</v>
      </c>
      <c r="K800" s="3">
        <v>0</v>
      </c>
      <c r="L800">
        <v>91.73</v>
      </c>
      <c r="M800">
        <v>15.290000000000006</v>
      </c>
      <c r="N800" t="str">
        <f>"P. "&amp;(Sales__tbl[[#This Row],[product_id]]&amp;"."&amp;TEXT(Sales__tbl[[#This Row],[selling_price]],"0.00"))</f>
        <v>P. P.id12.91.73</v>
      </c>
    </row>
    <row r="801" spans="1:14" x14ac:dyDescent="0.25">
      <c r="A801">
        <v>800</v>
      </c>
      <c r="B801" s="9" t="str">
        <f>TEXT(Sales__tbl[[#This Row],[date]],"MM")</f>
        <v>04</v>
      </c>
      <c r="C801" s="13">
        <v>45768</v>
      </c>
      <c r="D801" t="str">
        <f>_xlfn.XLOOKUP(Sales__tbl[[#This Row],[customer_id]],customer_tbl[customer_id],customer_tbl[Branch_id],"Not found")</f>
        <v>W01</v>
      </c>
      <c r="E801" t="s">
        <v>1007</v>
      </c>
      <c r="F801" t="s">
        <v>966</v>
      </c>
      <c r="G801" t="s">
        <v>851</v>
      </c>
      <c r="H801">
        <v>2</v>
      </c>
      <c r="I801">
        <v>196.75</v>
      </c>
      <c r="J801">
        <v>0.15</v>
      </c>
      <c r="K801" s="3">
        <v>59.025000000000034</v>
      </c>
      <c r="L801">
        <v>334.47499999999997</v>
      </c>
      <c r="M801">
        <v>22.174999999999955</v>
      </c>
      <c r="N801" t="str">
        <f>"P. "&amp;(Sales__tbl[[#This Row],[product_id]]&amp;"."&amp;TEXT(Sales__tbl[[#This Row],[selling_price]],"0.00"))</f>
        <v>P. P.id11.196.75</v>
      </c>
    </row>
    <row r="802" spans="1:14" x14ac:dyDescent="0.25">
      <c r="C802" s="9"/>
      <c r="H802">
        <f>SUM(Sales__tbl[quantity])</f>
        <v>1080</v>
      </c>
      <c r="I802">
        <f>SUM(I2:I801)</f>
        <v>121273.58999999955</v>
      </c>
      <c r="J802">
        <f>AVERAGE(J2:J801)</f>
        <v>7.5812500000000338E-2</v>
      </c>
      <c r="K802" s="3">
        <f>SUM(K2:K801)</f>
        <v>20192.315499999982</v>
      </c>
      <c r="L802" s="3">
        <f>SUM(L2:L801)</f>
        <v>143558.49449999968</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91"/>
  <sheetViews>
    <sheetView workbookViewId="0">
      <selection activeCell="I26" sqref="I26"/>
    </sheetView>
  </sheetViews>
  <sheetFormatPr defaultRowHeight="15" x14ac:dyDescent="0.25"/>
  <cols>
    <col min="1" max="1" width="14.7109375" bestFit="1" customWidth="1"/>
    <col min="2" max="2" width="16.7109375" bestFit="1" customWidth="1"/>
    <col min="3" max="3" width="14" style="3" bestFit="1" customWidth="1"/>
    <col min="4" max="4" width="15.7109375" style="3" bestFit="1" customWidth="1"/>
    <col min="5" max="5" width="18.28515625" bestFit="1" customWidth="1"/>
    <col min="6" max="6" width="16.5703125" bestFit="1" customWidth="1"/>
    <col min="7" max="7" width="16.5703125" customWidth="1"/>
    <col min="8" max="8" width="10.28515625" bestFit="1" customWidth="1"/>
    <col min="9" max="9" width="15.42578125" bestFit="1" customWidth="1"/>
  </cols>
  <sheetData>
    <row r="1" spans="1:9" x14ac:dyDescent="0.25">
      <c r="A1" s="1" t="s">
        <v>4</v>
      </c>
      <c r="B1" s="1" t="s">
        <v>827</v>
      </c>
      <c r="C1" s="2" t="s">
        <v>829</v>
      </c>
      <c r="D1" s="2" t="s">
        <v>830</v>
      </c>
      <c r="E1" s="1" t="s">
        <v>938</v>
      </c>
      <c r="F1" s="16" t="s">
        <v>1200</v>
      </c>
    </row>
    <row r="2" spans="1:9" x14ac:dyDescent="0.25">
      <c r="A2" t="s">
        <v>958</v>
      </c>
      <c r="B2" s="6" t="s">
        <v>939</v>
      </c>
      <c r="C2" s="3">
        <v>78.040000000000006</v>
      </c>
      <c r="D2" s="3">
        <v>90.53</v>
      </c>
      <c r="E2" s="3">
        <f>product_tbl[[#This Row],[selling_price]]-product_tbl[[#This Row],[cost_price]]</f>
        <v>12.489999999999995</v>
      </c>
      <c r="F2" s="3" t="str">
        <f>"P."&amp;(product_tbl[[#This Row],[product_id]]&amp;"."&amp;TEXT(product_tbl[[#This Row],[selling_price]],"0.00"))</f>
        <v>P.P.id03.90.53</v>
      </c>
      <c r="H2" s="10" t="s">
        <v>4</v>
      </c>
      <c r="I2" s="10" t="s">
        <v>827</v>
      </c>
    </row>
    <row r="3" spans="1:9" x14ac:dyDescent="0.25">
      <c r="A3" t="s">
        <v>963</v>
      </c>
      <c r="B3" s="6" t="s">
        <v>942</v>
      </c>
      <c r="C3" s="3">
        <v>190.39</v>
      </c>
      <c r="D3" s="3">
        <v>274.16000000000003</v>
      </c>
      <c r="E3" s="3">
        <f>product_tbl[[#This Row],[selling_price]]-product_tbl[[#This Row],[cost_price]]</f>
        <v>83.770000000000039</v>
      </c>
      <c r="F3" s="3" t="str">
        <f>"P."&amp;(product_tbl[[#This Row],[product_id]]&amp;"."&amp;TEXT(product_tbl[[#This Row],[selling_price]],"0.00"))</f>
        <v>P.P.id08.274.16</v>
      </c>
      <c r="H3" s="5" t="s">
        <v>956</v>
      </c>
      <c r="I3" s="6" t="s">
        <v>831</v>
      </c>
    </row>
    <row r="4" spans="1:9" x14ac:dyDescent="0.25">
      <c r="A4" t="s">
        <v>964</v>
      </c>
      <c r="B4" s="6" t="s">
        <v>943</v>
      </c>
      <c r="C4" s="3">
        <v>147.74</v>
      </c>
      <c r="D4" s="3">
        <v>190.58</v>
      </c>
      <c r="E4" s="3">
        <f>product_tbl[[#This Row],[selling_price]]-product_tbl[[#This Row],[cost_price]]</f>
        <v>42.84</v>
      </c>
      <c r="F4" s="3" t="str">
        <f>"P."&amp;(product_tbl[[#This Row],[product_id]]&amp;"."&amp;TEXT(product_tbl[[#This Row],[selling_price]],"0.00"))</f>
        <v>P.P.id09.190.58</v>
      </c>
      <c r="H4" s="5" t="s">
        <v>957</v>
      </c>
      <c r="I4" s="4" t="s">
        <v>833</v>
      </c>
    </row>
    <row r="5" spans="1:9" x14ac:dyDescent="0.25">
      <c r="A5" t="s">
        <v>965</v>
      </c>
      <c r="B5" s="6" t="s">
        <v>847</v>
      </c>
      <c r="C5" s="3">
        <v>121.74</v>
      </c>
      <c r="D5" s="3">
        <v>168</v>
      </c>
      <c r="E5" s="3">
        <f>product_tbl[[#This Row],[selling_price]]-product_tbl[[#This Row],[cost_price]]</f>
        <v>46.260000000000005</v>
      </c>
      <c r="F5" s="3" t="str">
        <f>"P."&amp;(product_tbl[[#This Row],[product_id]]&amp;"."&amp;TEXT(product_tbl[[#This Row],[selling_price]],"0.00"))</f>
        <v>P.P.id10.168.00</v>
      </c>
      <c r="H5" s="5" t="s">
        <v>958</v>
      </c>
      <c r="I5" s="6" t="s">
        <v>939</v>
      </c>
    </row>
    <row r="6" spans="1:9" x14ac:dyDescent="0.25">
      <c r="A6" t="s">
        <v>957</v>
      </c>
      <c r="B6" s="6" t="s">
        <v>833</v>
      </c>
      <c r="C6" s="3">
        <v>35.42</v>
      </c>
      <c r="D6" s="3">
        <v>55.26</v>
      </c>
      <c r="E6" s="3">
        <f>product_tbl[[#This Row],[selling_price]]-product_tbl[[#This Row],[cost_price]]</f>
        <v>19.839999999999996</v>
      </c>
      <c r="F6" s="3" t="str">
        <f>"P."&amp;(product_tbl[[#This Row],[product_id]]&amp;"."&amp;TEXT(product_tbl[[#This Row],[selling_price]],"0.00"))</f>
        <v>P.P.id02.55.26</v>
      </c>
      <c r="H6" s="5" t="s">
        <v>959</v>
      </c>
      <c r="I6" s="6" t="s">
        <v>837</v>
      </c>
    </row>
    <row r="7" spans="1:9" x14ac:dyDescent="0.25">
      <c r="A7" t="s">
        <v>965</v>
      </c>
      <c r="B7" s="6" t="s">
        <v>847</v>
      </c>
      <c r="C7" s="3">
        <v>35.42</v>
      </c>
      <c r="D7" s="3">
        <v>44.63</v>
      </c>
      <c r="E7" s="3">
        <f>product_tbl[[#This Row],[selling_price]]-product_tbl[[#This Row],[cost_price]]</f>
        <v>9.2100000000000009</v>
      </c>
      <c r="F7" s="3" t="str">
        <f>"P."&amp;(product_tbl[[#This Row],[product_id]]&amp;"."&amp;TEXT(product_tbl[[#This Row],[selling_price]],"0.00"))</f>
        <v>P.P.id10.44.63</v>
      </c>
      <c r="H7" s="5" t="s">
        <v>960</v>
      </c>
      <c r="I7" s="4" t="s">
        <v>839</v>
      </c>
    </row>
    <row r="8" spans="1:9" x14ac:dyDescent="0.25">
      <c r="A8" t="s">
        <v>964</v>
      </c>
      <c r="B8" s="6" t="s">
        <v>943</v>
      </c>
      <c r="C8" s="3">
        <v>16.329999999999998</v>
      </c>
      <c r="D8" s="3">
        <v>21.72</v>
      </c>
      <c r="E8" s="3">
        <f>product_tbl[[#This Row],[selling_price]]-product_tbl[[#This Row],[cost_price]]</f>
        <v>5.3900000000000006</v>
      </c>
      <c r="F8" s="3" t="str">
        <f>"P."&amp;(product_tbl[[#This Row],[product_id]]&amp;"."&amp;TEXT(product_tbl[[#This Row],[selling_price]],"0.00"))</f>
        <v>P.P.id09.21.72</v>
      </c>
      <c r="H8" s="5" t="s">
        <v>961</v>
      </c>
      <c r="I8" s="11" t="s">
        <v>940</v>
      </c>
    </row>
    <row r="9" spans="1:9" x14ac:dyDescent="0.25">
      <c r="A9" t="s">
        <v>962</v>
      </c>
      <c r="B9" s="6" t="s">
        <v>941</v>
      </c>
      <c r="C9" s="3">
        <v>173.9</v>
      </c>
      <c r="D9" s="3">
        <v>259.11</v>
      </c>
      <c r="E9" s="3">
        <f>product_tbl[[#This Row],[selling_price]]-product_tbl[[#This Row],[cost_price]]</f>
        <v>85.210000000000008</v>
      </c>
      <c r="F9" s="3" t="str">
        <f>"P."&amp;(product_tbl[[#This Row],[product_id]]&amp;"."&amp;TEXT(product_tbl[[#This Row],[selling_price]],"0.00"))</f>
        <v>P.P.id07.259.11</v>
      </c>
      <c r="H9" s="5" t="s">
        <v>962</v>
      </c>
      <c r="I9" s="12" t="s">
        <v>941</v>
      </c>
    </row>
    <row r="10" spans="1:9" x14ac:dyDescent="0.25">
      <c r="A10" t="s">
        <v>964</v>
      </c>
      <c r="B10" s="6" t="s">
        <v>943</v>
      </c>
      <c r="C10" s="3">
        <v>122.22</v>
      </c>
      <c r="D10" s="3">
        <v>152.78</v>
      </c>
      <c r="E10" s="3">
        <f>product_tbl[[#This Row],[selling_price]]-product_tbl[[#This Row],[cost_price]]</f>
        <v>30.560000000000002</v>
      </c>
      <c r="F10" s="3" t="str">
        <f>"P."&amp;(product_tbl[[#This Row],[product_id]]&amp;"."&amp;TEXT(product_tbl[[#This Row],[selling_price]],"0.00"))</f>
        <v>P.P.id09.152.78</v>
      </c>
      <c r="H10" s="5" t="s">
        <v>963</v>
      </c>
      <c r="I10" s="11" t="s">
        <v>942</v>
      </c>
    </row>
    <row r="11" spans="1:9" x14ac:dyDescent="0.25">
      <c r="A11" t="s">
        <v>964</v>
      </c>
      <c r="B11" s="6" t="s">
        <v>943</v>
      </c>
      <c r="C11" s="3">
        <v>143.07</v>
      </c>
      <c r="D11" s="3">
        <v>168.82</v>
      </c>
      <c r="E11" s="3">
        <f>product_tbl[[#This Row],[selling_price]]-product_tbl[[#This Row],[cost_price]]</f>
        <v>25.75</v>
      </c>
      <c r="F11" s="3" t="str">
        <f>"P."&amp;(product_tbl[[#This Row],[product_id]]&amp;"."&amp;TEXT(product_tbl[[#This Row],[selling_price]],"0.00"))</f>
        <v>P.P.id09.168.82</v>
      </c>
      <c r="H11" s="5" t="s">
        <v>964</v>
      </c>
      <c r="I11" s="12" t="s">
        <v>943</v>
      </c>
    </row>
    <row r="12" spans="1:9" x14ac:dyDescent="0.25">
      <c r="A12" t="s">
        <v>959</v>
      </c>
      <c r="B12" s="6" t="s">
        <v>837</v>
      </c>
      <c r="C12" s="3">
        <v>9.01</v>
      </c>
      <c r="D12" s="3">
        <v>11.53</v>
      </c>
      <c r="E12" s="3">
        <f>product_tbl[[#This Row],[selling_price]]-product_tbl[[#This Row],[cost_price]]</f>
        <v>2.5199999999999996</v>
      </c>
      <c r="F12" s="3" t="str">
        <f>"P."&amp;(product_tbl[[#This Row],[product_id]]&amp;"."&amp;TEXT(product_tbl[[#This Row],[selling_price]],"0.00"))</f>
        <v>P.P.id04.11.53</v>
      </c>
      <c r="H12" s="5" t="s">
        <v>965</v>
      </c>
      <c r="I12" s="11" t="s">
        <v>847</v>
      </c>
    </row>
    <row r="13" spans="1:9" x14ac:dyDescent="0.25">
      <c r="A13" t="s">
        <v>964</v>
      </c>
      <c r="B13" s="6" t="s">
        <v>943</v>
      </c>
      <c r="C13" s="3">
        <v>194.13</v>
      </c>
      <c r="D13" s="3">
        <v>236.84</v>
      </c>
      <c r="E13" s="3">
        <f>product_tbl[[#This Row],[selling_price]]-product_tbl[[#This Row],[cost_price]]</f>
        <v>42.710000000000008</v>
      </c>
      <c r="F13" s="3" t="str">
        <f>"P."&amp;(product_tbl[[#This Row],[product_id]]&amp;"."&amp;TEXT(product_tbl[[#This Row],[selling_price]],"0.00"))</f>
        <v>P.P.id09.236.84</v>
      </c>
      <c r="H13" s="5" t="s">
        <v>966</v>
      </c>
      <c r="I13" s="12" t="s">
        <v>851</v>
      </c>
    </row>
    <row r="14" spans="1:9" x14ac:dyDescent="0.25">
      <c r="A14" t="s">
        <v>964</v>
      </c>
      <c r="B14" s="6" t="s">
        <v>943</v>
      </c>
      <c r="C14" s="3">
        <v>61.97</v>
      </c>
      <c r="D14" s="3">
        <v>79.94</v>
      </c>
      <c r="E14" s="3">
        <f>product_tbl[[#This Row],[selling_price]]-product_tbl[[#This Row],[cost_price]]</f>
        <v>17.97</v>
      </c>
      <c r="F14" s="3" t="str">
        <f>"P."&amp;(product_tbl[[#This Row],[product_id]]&amp;"."&amp;TEXT(product_tbl[[#This Row],[selling_price]],"0.00"))</f>
        <v>P.P.id09.79.94</v>
      </c>
      <c r="H14" s="5" t="s">
        <v>967</v>
      </c>
      <c r="I14" s="11" t="s">
        <v>872</v>
      </c>
    </row>
    <row r="15" spans="1:9" x14ac:dyDescent="0.25">
      <c r="A15" t="s">
        <v>967</v>
      </c>
      <c r="B15" s="6" t="s">
        <v>872</v>
      </c>
      <c r="C15" s="3">
        <v>76.44</v>
      </c>
      <c r="D15" s="3">
        <v>91.73</v>
      </c>
      <c r="E15" s="3">
        <f>product_tbl[[#This Row],[selling_price]]-product_tbl[[#This Row],[cost_price]]</f>
        <v>15.290000000000006</v>
      </c>
      <c r="F15" s="3" t="str">
        <f>"P."&amp;(product_tbl[[#This Row],[product_id]]&amp;"."&amp;TEXT(product_tbl[[#This Row],[selling_price]],"0.00"))</f>
        <v>P.P.id12.91.73</v>
      </c>
    </row>
    <row r="16" spans="1:9" x14ac:dyDescent="0.25">
      <c r="A16" t="s">
        <v>963</v>
      </c>
      <c r="B16" s="6" t="s">
        <v>942</v>
      </c>
      <c r="C16" s="3">
        <v>93.93</v>
      </c>
      <c r="D16" s="3">
        <v>117.41</v>
      </c>
      <c r="E16" s="3">
        <f>product_tbl[[#This Row],[selling_price]]-product_tbl[[#This Row],[cost_price]]</f>
        <v>23.47999999999999</v>
      </c>
      <c r="F16" s="3" t="str">
        <f>"P."&amp;(product_tbl[[#This Row],[product_id]]&amp;"."&amp;TEXT(product_tbl[[#This Row],[selling_price]],"0.00"))</f>
        <v>P.P.id08.117.41</v>
      </c>
    </row>
    <row r="17" spans="1:6" x14ac:dyDescent="0.25">
      <c r="A17" t="s">
        <v>957</v>
      </c>
      <c r="B17" s="6" t="s">
        <v>833</v>
      </c>
      <c r="C17" s="3">
        <v>158.11000000000001</v>
      </c>
      <c r="D17" s="3">
        <v>211.87</v>
      </c>
      <c r="E17" s="3">
        <f>product_tbl[[#This Row],[selling_price]]-product_tbl[[#This Row],[cost_price]]</f>
        <v>53.759999999999991</v>
      </c>
      <c r="F17" s="3" t="str">
        <f>"P."&amp;(product_tbl[[#This Row],[product_id]]&amp;"."&amp;TEXT(product_tbl[[#This Row],[selling_price]],"0.00"))</f>
        <v>P.P.id02.211.87</v>
      </c>
    </row>
    <row r="18" spans="1:6" x14ac:dyDescent="0.25">
      <c r="A18" t="s">
        <v>961</v>
      </c>
      <c r="B18" s="6" t="s">
        <v>940</v>
      </c>
      <c r="C18" s="3">
        <v>43.94</v>
      </c>
      <c r="D18" s="3">
        <v>66.790000000000006</v>
      </c>
      <c r="E18" s="3">
        <f>product_tbl[[#This Row],[selling_price]]-product_tbl[[#This Row],[cost_price]]</f>
        <v>22.850000000000009</v>
      </c>
      <c r="F18" s="3" t="str">
        <f>"P."&amp;(product_tbl[[#This Row],[product_id]]&amp;"."&amp;TEXT(product_tbl[[#This Row],[selling_price]],"0.00"))</f>
        <v>P.P.id06.66.79</v>
      </c>
    </row>
    <row r="19" spans="1:6" x14ac:dyDescent="0.25">
      <c r="A19" t="s">
        <v>967</v>
      </c>
      <c r="B19" s="6" t="s">
        <v>872</v>
      </c>
      <c r="C19" s="3">
        <v>105.28</v>
      </c>
      <c r="D19" s="3">
        <v>162.13</v>
      </c>
      <c r="E19" s="3">
        <f>product_tbl[[#This Row],[selling_price]]-product_tbl[[#This Row],[cost_price]]</f>
        <v>56.849999999999994</v>
      </c>
      <c r="F19" s="3" t="str">
        <f>"P."&amp;(product_tbl[[#This Row],[product_id]]&amp;"."&amp;TEXT(product_tbl[[#This Row],[selling_price]],"0.00"))</f>
        <v>P.P.id12.162.13</v>
      </c>
    </row>
    <row r="20" spans="1:6" x14ac:dyDescent="0.25">
      <c r="A20" t="s">
        <v>965</v>
      </c>
      <c r="B20" s="6" t="s">
        <v>847</v>
      </c>
      <c r="C20" s="3">
        <v>120.52</v>
      </c>
      <c r="D20" s="3">
        <v>138.6</v>
      </c>
      <c r="E20" s="3">
        <f>product_tbl[[#This Row],[selling_price]]-product_tbl[[#This Row],[cost_price]]</f>
        <v>18.079999999999998</v>
      </c>
      <c r="F20" s="3" t="str">
        <f>"P."&amp;(product_tbl[[#This Row],[product_id]]&amp;"."&amp;TEXT(product_tbl[[#This Row],[selling_price]],"0.00"))</f>
        <v>P.P.id10.138.60</v>
      </c>
    </row>
    <row r="21" spans="1:6" x14ac:dyDescent="0.25">
      <c r="A21" t="s">
        <v>962</v>
      </c>
      <c r="B21" s="6" t="s">
        <v>941</v>
      </c>
      <c r="C21" s="3">
        <v>14.06</v>
      </c>
      <c r="D21" s="3">
        <v>19.399999999999999</v>
      </c>
      <c r="E21" s="3">
        <f>product_tbl[[#This Row],[selling_price]]-product_tbl[[#This Row],[cost_price]]</f>
        <v>5.3399999999999981</v>
      </c>
      <c r="F21" s="3" t="str">
        <f>"P."&amp;(product_tbl[[#This Row],[product_id]]&amp;"."&amp;TEXT(product_tbl[[#This Row],[selling_price]],"0.00"))</f>
        <v>P.P.id07.19.40</v>
      </c>
    </row>
    <row r="22" spans="1:6" x14ac:dyDescent="0.25">
      <c r="A22" t="s">
        <v>960</v>
      </c>
      <c r="B22" s="6" t="s">
        <v>839</v>
      </c>
      <c r="C22" s="3">
        <v>123.47</v>
      </c>
      <c r="D22" s="3">
        <v>165.45</v>
      </c>
      <c r="E22" s="3">
        <f>product_tbl[[#This Row],[selling_price]]-product_tbl[[#This Row],[cost_price]]</f>
        <v>41.97999999999999</v>
      </c>
      <c r="F22" s="3" t="str">
        <f>"P."&amp;(product_tbl[[#This Row],[product_id]]&amp;"."&amp;TEXT(product_tbl[[#This Row],[selling_price]],"0.00"))</f>
        <v>P.P.id05.165.45</v>
      </c>
    </row>
    <row r="23" spans="1:6" x14ac:dyDescent="0.25">
      <c r="A23" t="s">
        <v>959</v>
      </c>
      <c r="B23" s="6" t="s">
        <v>837</v>
      </c>
      <c r="C23" s="3">
        <v>38.25</v>
      </c>
      <c r="D23" s="3">
        <v>47.81</v>
      </c>
      <c r="E23" s="3">
        <f>product_tbl[[#This Row],[selling_price]]-product_tbl[[#This Row],[cost_price]]</f>
        <v>9.5600000000000023</v>
      </c>
      <c r="F23" s="3" t="str">
        <f>"P."&amp;(product_tbl[[#This Row],[product_id]]&amp;"."&amp;TEXT(product_tbl[[#This Row],[selling_price]],"0.00"))</f>
        <v>P.P.id04.47.81</v>
      </c>
    </row>
    <row r="24" spans="1:6" x14ac:dyDescent="0.25">
      <c r="A24" t="s">
        <v>964</v>
      </c>
      <c r="B24" s="6" t="s">
        <v>943</v>
      </c>
      <c r="C24" s="3">
        <v>17.690000000000001</v>
      </c>
      <c r="D24" s="3">
        <v>21.23</v>
      </c>
      <c r="E24" s="3">
        <f>product_tbl[[#This Row],[selling_price]]-product_tbl[[#This Row],[cost_price]]</f>
        <v>3.5399999999999991</v>
      </c>
      <c r="F24" s="3" t="str">
        <f>"P."&amp;(product_tbl[[#This Row],[product_id]]&amp;"."&amp;TEXT(product_tbl[[#This Row],[selling_price]],"0.00"))</f>
        <v>P.P.id09.21.23</v>
      </c>
    </row>
    <row r="25" spans="1:6" x14ac:dyDescent="0.25">
      <c r="A25" t="s">
        <v>957</v>
      </c>
      <c r="B25" s="6" t="s">
        <v>833</v>
      </c>
      <c r="C25" s="3">
        <v>190.03</v>
      </c>
      <c r="D25" s="3">
        <v>247.04</v>
      </c>
      <c r="E25" s="3">
        <f>product_tbl[[#This Row],[selling_price]]-product_tbl[[#This Row],[cost_price]]</f>
        <v>57.009999999999991</v>
      </c>
      <c r="F25" s="3" t="str">
        <f>"P."&amp;(product_tbl[[#This Row],[product_id]]&amp;"."&amp;TEXT(product_tbl[[#This Row],[selling_price]],"0.00"))</f>
        <v>P.P.id02.247.04</v>
      </c>
    </row>
    <row r="26" spans="1:6" x14ac:dyDescent="0.25">
      <c r="A26" t="s">
        <v>956</v>
      </c>
      <c r="B26" s="6" t="s">
        <v>831</v>
      </c>
      <c r="C26" s="3">
        <v>193.3</v>
      </c>
      <c r="D26" s="3">
        <v>303.48</v>
      </c>
      <c r="E26" s="3">
        <f>product_tbl[[#This Row],[selling_price]]-product_tbl[[#This Row],[cost_price]]</f>
        <v>110.18</v>
      </c>
      <c r="F26" s="3" t="str">
        <f>"P."&amp;(product_tbl[[#This Row],[product_id]]&amp;"."&amp;TEXT(product_tbl[[#This Row],[selling_price]],"0.00"))</f>
        <v>P.P.id01.303.48</v>
      </c>
    </row>
    <row r="27" spans="1:6" x14ac:dyDescent="0.25">
      <c r="A27" t="s">
        <v>962</v>
      </c>
      <c r="B27" s="6" t="s">
        <v>941</v>
      </c>
      <c r="C27" s="3">
        <v>162.63999999999999</v>
      </c>
      <c r="D27" s="3">
        <v>211.43</v>
      </c>
      <c r="E27" s="3">
        <f>product_tbl[[#This Row],[selling_price]]-product_tbl[[#This Row],[cost_price]]</f>
        <v>48.79000000000002</v>
      </c>
      <c r="F27" s="3" t="str">
        <f>"P."&amp;(product_tbl[[#This Row],[product_id]]&amp;"."&amp;TEXT(product_tbl[[#This Row],[selling_price]],"0.00"))</f>
        <v>P.P.id07.211.43</v>
      </c>
    </row>
    <row r="28" spans="1:6" x14ac:dyDescent="0.25">
      <c r="A28" t="s">
        <v>956</v>
      </c>
      <c r="B28" s="6" t="s">
        <v>831</v>
      </c>
      <c r="C28" s="3">
        <v>64.400000000000006</v>
      </c>
      <c r="D28" s="3">
        <v>88.87</v>
      </c>
      <c r="E28" s="3">
        <f>product_tbl[[#This Row],[selling_price]]-product_tbl[[#This Row],[cost_price]]</f>
        <v>24.47</v>
      </c>
      <c r="F28" s="3" t="str">
        <f>"P."&amp;(product_tbl[[#This Row],[product_id]]&amp;"."&amp;TEXT(product_tbl[[#This Row],[selling_price]],"0.00"))</f>
        <v>P.P.id01.88.87</v>
      </c>
    </row>
    <row r="29" spans="1:6" x14ac:dyDescent="0.25">
      <c r="A29" t="s">
        <v>959</v>
      </c>
      <c r="B29" s="6" t="s">
        <v>837</v>
      </c>
      <c r="C29" s="3">
        <v>24.05</v>
      </c>
      <c r="D29" s="3">
        <v>35.35</v>
      </c>
      <c r="E29" s="3">
        <f>product_tbl[[#This Row],[selling_price]]-product_tbl[[#This Row],[cost_price]]</f>
        <v>11.3</v>
      </c>
      <c r="F29" s="3" t="str">
        <f>"P."&amp;(product_tbl[[#This Row],[product_id]]&amp;"."&amp;TEXT(product_tbl[[#This Row],[selling_price]],"0.00"))</f>
        <v>P.P.id04.35.35</v>
      </c>
    </row>
    <row r="30" spans="1:6" x14ac:dyDescent="0.25">
      <c r="A30" t="s">
        <v>963</v>
      </c>
      <c r="B30" s="6" t="s">
        <v>942</v>
      </c>
      <c r="C30" s="3">
        <v>138.43</v>
      </c>
      <c r="D30" s="3">
        <v>181.34</v>
      </c>
      <c r="E30" s="3">
        <f>product_tbl[[#This Row],[selling_price]]-product_tbl[[#This Row],[cost_price]]</f>
        <v>42.91</v>
      </c>
      <c r="F30" s="3" t="str">
        <f>"P."&amp;(product_tbl[[#This Row],[product_id]]&amp;"."&amp;TEXT(product_tbl[[#This Row],[selling_price]],"0.00"))</f>
        <v>P.P.id08.181.34</v>
      </c>
    </row>
    <row r="31" spans="1:6" x14ac:dyDescent="0.25">
      <c r="A31" t="s">
        <v>963</v>
      </c>
      <c r="B31" s="6" t="s">
        <v>942</v>
      </c>
      <c r="C31" s="3">
        <v>90.83</v>
      </c>
      <c r="D31" s="3">
        <v>144.41999999999999</v>
      </c>
      <c r="E31" s="3">
        <f>product_tbl[[#This Row],[selling_price]]-product_tbl[[#This Row],[cost_price]]</f>
        <v>53.589999999999989</v>
      </c>
      <c r="F31" s="3" t="str">
        <f>"P."&amp;(product_tbl[[#This Row],[product_id]]&amp;"."&amp;TEXT(product_tbl[[#This Row],[selling_price]],"0.00"))</f>
        <v>P.P.id08.144.42</v>
      </c>
    </row>
    <row r="32" spans="1:6" x14ac:dyDescent="0.25">
      <c r="A32" t="s">
        <v>960</v>
      </c>
      <c r="B32" s="6" t="s">
        <v>839</v>
      </c>
      <c r="C32" s="3">
        <v>28.8</v>
      </c>
      <c r="D32" s="3">
        <v>45.5</v>
      </c>
      <c r="E32" s="3">
        <f>product_tbl[[#This Row],[selling_price]]-product_tbl[[#This Row],[cost_price]]</f>
        <v>16.7</v>
      </c>
      <c r="F32" s="3" t="str">
        <f>"P."&amp;(product_tbl[[#This Row],[product_id]]&amp;"."&amp;TEXT(product_tbl[[#This Row],[selling_price]],"0.00"))</f>
        <v>P.P.id05.45.50</v>
      </c>
    </row>
    <row r="33" spans="1:6" x14ac:dyDescent="0.25">
      <c r="A33" t="s">
        <v>967</v>
      </c>
      <c r="B33" s="6" t="s">
        <v>872</v>
      </c>
      <c r="C33" s="3">
        <v>101.56</v>
      </c>
      <c r="D33" s="3">
        <v>127.97</v>
      </c>
      <c r="E33" s="3">
        <f>product_tbl[[#This Row],[selling_price]]-product_tbl[[#This Row],[cost_price]]</f>
        <v>26.409999999999997</v>
      </c>
      <c r="F33" s="3" t="str">
        <f>"P."&amp;(product_tbl[[#This Row],[product_id]]&amp;"."&amp;TEXT(product_tbl[[#This Row],[selling_price]],"0.00"))</f>
        <v>P.P.id12.127.97</v>
      </c>
    </row>
    <row r="34" spans="1:6" x14ac:dyDescent="0.25">
      <c r="A34" t="s">
        <v>964</v>
      </c>
      <c r="B34" s="6" t="s">
        <v>943</v>
      </c>
      <c r="C34" s="3">
        <v>11.71</v>
      </c>
      <c r="D34" s="3">
        <v>16.04</v>
      </c>
      <c r="E34" s="3">
        <f>product_tbl[[#This Row],[selling_price]]-product_tbl[[#This Row],[cost_price]]</f>
        <v>4.3299999999999983</v>
      </c>
      <c r="F34" s="3" t="str">
        <f>"P."&amp;(product_tbl[[#This Row],[product_id]]&amp;"."&amp;TEXT(product_tbl[[#This Row],[selling_price]],"0.00"))</f>
        <v>P.P.id09.16.04</v>
      </c>
    </row>
    <row r="35" spans="1:6" x14ac:dyDescent="0.25">
      <c r="A35" t="s">
        <v>967</v>
      </c>
      <c r="B35" s="6" t="s">
        <v>872</v>
      </c>
      <c r="C35" s="3">
        <v>182.32</v>
      </c>
      <c r="D35" s="3">
        <v>235.19</v>
      </c>
      <c r="E35" s="3">
        <f>product_tbl[[#This Row],[selling_price]]-product_tbl[[#This Row],[cost_price]]</f>
        <v>52.870000000000005</v>
      </c>
      <c r="F35" s="3" t="str">
        <f>"P."&amp;(product_tbl[[#This Row],[product_id]]&amp;"."&amp;TEXT(product_tbl[[#This Row],[selling_price]],"0.00"))</f>
        <v>P.P.id12.235.19</v>
      </c>
    </row>
    <row r="36" spans="1:6" x14ac:dyDescent="0.25">
      <c r="A36" t="s">
        <v>962</v>
      </c>
      <c r="B36" s="6" t="s">
        <v>941</v>
      </c>
      <c r="C36" s="3">
        <v>55.46</v>
      </c>
      <c r="D36" s="3">
        <v>70.989999999999995</v>
      </c>
      <c r="E36" s="3">
        <f>product_tbl[[#This Row],[selling_price]]-product_tbl[[#This Row],[cost_price]]</f>
        <v>15.529999999999994</v>
      </c>
      <c r="F36" s="3" t="str">
        <f>"P."&amp;(product_tbl[[#This Row],[product_id]]&amp;"."&amp;TEXT(product_tbl[[#This Row],[selling_price]],"0.00"))</f>
        <v>P.P.id07.70.99</v>
      </c>
    </row>
    <row r="37" spans="1:6" x14ac:dyDescent="0.25">
      <c r="A37" t="s">
        <v>958</v>
      </c>
      <c r="B37" s="6" t="s">
        <v>939</v>
      </c>
      <c r="C37" s="3">
        <v>134.19</v>
      </c>
      <c r="D37" s="3">
        <v>157</v>
      </c>
      <c r="E37" s="3">
        <f>product_tbl[[#This Row],[selling_price]]-product_tbl[[#This Row],[cost_price]]</f>
        <v>22.810000000000002</v>
      </c>
      <c r="F37" s="3" t="str">
        <f>"P."&amp;(product_tbl[[#This Row],[product_id]]&amp;"."&amp;TEXT(product_tbl[[#This Row],[selling_price]],"0.00"))</f>
        <v>P.P.id03.157.00</v>
      </c>
    </row>
    <row r="38" spans="1:6" x14ac:dyDescent="0.25">
      <c r="A38" t="s">
        <v>964</v>
      </c>
      <c r="B38" s="6" t="s">
        <v>943</v>
      </c>
      <c r="C38" s="3">
        <v>65.78</v>
      </c>
      <c r="D38" s="3">
        <v>93.41</v>
      </c>
      <c r="E38" s="3">
        <f>product_tbl[[#This Row],[selling_price]]-product_tbl[[#This Row],[cost_price]]</f>
        <v>27.629999999999995</v>
      </c>
      <c r="F38" s="3" t="str">
        <f>"P."&amp;(product_tbl[[#This Row],[product_id]]&amp;"."&amp;TEXT(product_tbl[[#This Row],[selling_price]],"0.00"))</f>
        <v>P.P.id09.93.41</v>
      </c>
    </row>
    <row r="39" spans="1:6" x14ac:dyDescent="0.25">
      <c r="A39" t="s">
        <v>957</v>
      </c>
      <c r="B39" s="6" t="s">
        <v>833</v>
      </c>
      <c r="C39" s="3">
        <v>106.41</v>
      </c>
      <c r="D39" s="3">
        <v>146.85</v>
      </c>
      <c r="E39" s="3">
        <f>product_tbl[[#This Row],[selling_price]]-product_tbl[[#This Row],[cost_price]]</f>
        <v>40.44</v>
      </c>
      <c r="F39" s="3" t="str">
        <f>"P."&amp;(product_tbl[[#This Row],[product_id]]&amp;"."&amp;TEXT(product_tbl[[#This Row],[selling_price]],"0.00"))</f>
        <v>P.P.id02.146.85</v>
      </c>
    </row>
    <row r="40" spans="1:6" x14ac:dyDescent="0.25">
      <c r="A40" t="s">
        <v>963</v>
      </c>
      <c r="B40" s="6" t="s">
        <v>942</v>
      </c>
      <c r="C40" s="3">
        <v>111.61</v>
      </c>
      <c r="D40" s="3">
        <v>130.58000000000001</v>
      </c>
      <c r="E40" s="3">
        <f>product_tbl[[#This Row],[selling_price]]-product_tbl[[#This Row],[cost_price]]</f>
        <v>18.970000000000013</v>
      </c>
      <c r="F40" s="3" t="str">
        <f>"P."&amp;(product_tbl[[#This Row],[product_id]]&amp;"."&amp;TEXT(product_tbl[[#This Row],[selling_price]],"0.00"))</f>
        <v>P.P.id08.130.58</v>
      </c>
    </row>
    <row r="41" spans="1:6" x14ac:dyDescent="0.25">
      <c r="A41" t="s">
        <v>965</v>
      </c>
      <c r="B41" s="6" t="s">
        <v>847</v>
      </c>
      <c r="C41" s="3">
        <v>41.05</v>
      </c>
      <c r="D41" s="3">
        <v>52.54</v>
      </c>
      <c r="E41" s="3">
        <f>product_tbl[[#This Row],[selling_price]]-product_tbl[[#This Row],[cost_price]]</f>
        <v>11.490000000000002</v>
      </c>
      <c r="F41" s="3" t="str">
        <f>"P."&amp;(product_tbl[[#This Row],[product_id]]&amp;"."&amp;TEXT(product_tbl[[#This Row],[selling_price]],"0.00"))</f>
        <v>P.P.id10.52.54</v>
      </c>
    </row>
    <row r="42" spans="1:6" x14ac:dyDescent="0.25">
      <c r="A42" t="s">
        <v>965</v>
      </c>
      <c r="B42" s="6" t="s">
        <v>847</v>
      </c>
      <c r="C42" s="3">
        <v>194.07</v>
      </c>
      <c r="D42" s="3">
        <v>302.75</v>
      </c>
      <c r="E42" s="3">
        <f>product_tbl[[#This Row],[selling_price]]-product_tbl[[#This Row],[cost_price]]</f>
        <v>108.68</v>
      </c>
      <c r="F42" s="3" t="str">
        <f>"P."&amp;(product_tbl[[#This Row],[product_id]]&amp;"."&amp;TEXT(product_tbl[[#This Row],[selling_price]],"0.00"))</f>
        <v>P.P.id10.302.75</v>
      </c>
    </row>
    <row r="43" spans="1:6" x14ac:dyDescent="0.25">
      <c r="A43" t="s">
        <v>966</v>
      </c>
      <c r="B43" s="6" t="s">
        <v>851</v>
      </c>
      <c r="C43" s="3">
        <v>156.15</v>
      </c>
      <c r="D43" s="3">
        <v>196.75</v>
      </c>
      <c r="E43" s="3">
        <f>product_tbl[[#This Row],[selling_price]]-product_tbl[[#This Row],[cost_price]]</f>
        <v>40.599999999999994</v>
      </c>
      <c r="F43" s="3" t="str">
        <f>"P."&amp;(product_tbl[[#This Row],[product_id]]&amp;"."&amp;TEXT(product_tbl[[#This Row],[selling_price]],"0.00"))</f>
        <v>P.P.id11.196.75</v>
      </c>
    </row>
    <row r="44" spans="1:6" x14ac:dyDescent="0.25">
      <c r="A44" t="s">
        <v>961</v>
      </c>
      <c r="B44" s="6" t="s">
        <v>940</v>
      </c>
      <c r="C44" s="3">
        <v>188.2</v>
      </c>
      <c r="D44" s="3">
        <v>229.6</v>
      </c>
      <c r="E44" s="3">
        <f>product_tbl[[#This Row],[selling_price]]-product_tbl[[#This Row],[cost_price]]</f>
        <v>41.400000000000006</v>
      </c>
      <c r="F44" s="3" t="str">
        <f>"P."&amp;(product_tbl[[#This Row],[product_id]]&amp;"."&amp;TEXT(product_tbl[[#This Row],[selling_price]],"0.00"))</f>
        <v>P.P.id06.229.60</v>
      </c>
    </row>
    <row r="45" spans="1:6" x14ac:dyDescent="0.25">
      <c r="A45" t="s">
        <v>961</v>
      </c>
      <c r="B45" s="6" t="s">
        <v>940</v>
      </c>
      <c r="C45" s="3">
        <v>179.49</v>
      </c>
      <c r="D45" s="3">
        <v>245.9</v>
      </c>
      <c r="E45" s="3">
        <f>product_tbl[[#This Row],[selling_price]]-product_tbl[[#This Row],[cost_price]]</f>
        <v>66.41</v>
      </c>
      <c r="F45" s="3" t="str">
        <f>"P."&amp;(product_tbl[[#This Row],[product_id]]&amp;"."&amp;TEXT(product_tbl[[#This Row],[selling_price]],"0.00"))</f>
        <v>P.P.id06.245.90</v>
      </c>
    </row>
    <row r="46" spans="1:6" x14ac:dyDescent="0.25">
      <c r="A46" t="s">
        <v>966</v>
      </c>
      <c r="B46" s="6" t="s">
        <v>851</v>
      </c>
      <c r="C46" s="3">
        <v>121.59</v>
      </c>
      <c r="D46" s="3">
        <v>193.33</v>
      </c>
      <c r="E46" s="3">
        <f>product_tbl[[#This Row],[selling_price]]-product_tbl[[#This Row],[cost_price]]</f>
        <v>71.740000000000009</v>
      </c>
      <c r="F46" s="3" t="str">
        <f>"P."&amp;(product_tbl[[#This Row],[product_id]]&amp;"."&amp;TEXT(product_tbl[[#This Row],[selling_price]],"0.00"))</f>
        <v>P.P.id11.193.33</v>
      </c>
    </row>
    <row r="47" spans="1:6" x14ac:dyDescent="0.25">
      <c r="A47" t="s">
        <v>961</v>
      </c>
      <c r="B47" s="6" t="s">
        <v>940</v>
      </c>
      <c r="C47" s="3">
        <v>184.77</v>
      </c>
      <c r="D47" s="3">
        <v>232.81</v>
      </c>
      <c r="E47" s="3">
        <f>product_tbl[[#This Row],[selling_price]]-product_tbl[[#This Row],[cost_price]]</f>
        <v>48.039999999999992</v>
      </c>
      <c r="F47" s="3" t="str">
        <f>"P."&amp;(product_tbl[[#This Row],[product_id]]&amp;"."&amp;TEXT(product_tbl[[#This Row],[selling_price]],"0.00"))</f>
        <v>P.P.id06.232.81</v>
      </c>
    </row>
    <row r="48" spans="1:6" x14ac:dyDescent="0.25">
      <c r="A48" t="s">
        <v>964</v>
      </c>
      <c r="B48" s="6" t="s">
        <v>943</v>
      </c>
      <c r="C48" s="3">
        <v>22.26</v>
      </c>
      <c r="D48" s="3">
        <v>32.28</v>
      </c>
      <c r="E48" s="3">
        <f>product_tbl[[#This Row],[selling_price]]-product_tbl[[#This Row],[cost_price]]</f>
        <v>10.02</v>
      </c>
      <c r="F48" s="3" t="str">
        <f>"P."&amp;(product_tbl[[#This Row],[product_id]]&amp;"."&amp;TEXT(product_tbl[[#This Row],[selling_price]],"0.00"))</f>
        <v>P.P.id09.32.28</v>
      </c>
    </row>
    <row r="49" spans="1:6" x14ac:dyDescent="0.25">
      <c r="A49" t="s">
        <v>964</v>
      </c>
      <c r="B49" s="6" t="s">
        <v>943</v>
      </c>
      <c r="C49" s="3">
        <v>43.22</v>
      </c>
      <c r="D49" s="3">
        <v>64.400000000000006</v>
      </c>
      <c r="E49" s="3">
        <f>product_tbl[[#This Row],[selling_price]]-product_tbl[[#This Row],[cost_price]]</f>
        <v>21.180000000000007</v>
      </c>
      <c r="F49" s="3" t="str">
        <f>"P."&amp;(product_tbl[[#This Row],[product_id]]&amp;"."&amp;TEXT(product_tbl[[#This Row],[selling_price]],"0.00"))</f>
        <v>P.P.id09.64.40</v>
      </c>
    </row>
    <row r="50" spans="1:6" x14ac:dyDescent="0.25">
      <c r="A50" t="s">
        <v>964</v>
      </c>
      <c r="B50" s="6" t="s">
        <v>943</v>
      </c>
      <c r="C50" s="3">
        <v>13.82</v>
      </c>
      <c r="D50" s="3">
        <v>17.41</v>
      </c>
      <c r="E50" s="3">
        <f>product_tbl[[#This Row],[selling_price]]-product_tbl[[#This Row],[cost_price]]</f>
        <v>3.59</v>
      </c>
      <c r="F50" s="3" t="str">
        <f>"P."&amp;(product_tbl[[#This Row],[product_id]]&amp;"."&amp;TEXT(product_tbl[[#This Row],[selling_price]],"0.00"))</f>
        <v>P.P.id09.17.41</v>
      </c>
    </row>
    <row r="51" spans="1:6" x14ac:dyDescent="0.25">
      <c r="A51" t="s">
        <v>966</v>
      </c>
      <c r="B51" s="6" t="s">
        <v>851</v>
      </c>
      <c r="C51" s="3">
        <v>68.44</v>
      </c>
      <c r="D51" s="3">
        <v>101.29</v>
      </c>
      <c r="E51" s="3">
        <f>product_tbl[[#This Row],[selling_price]]-product_tbl[[#This Row],[cost_price]]</f>
        <v>32.850000000000009</v>
      </c>
      <c r="F51" s="3" t="str">
        <f>"P."&amp;(product_tbl[[#This Row],[product_id]]&amp;"."&amp;TEXT(product_tbl[[#This Row],[selling_price]],"0.00"))</f>
        <v>P.P.id11.101.29</v>
      </c>
    </row>
    <row r="52" spans="1:6" x14ac:dyDescent="0.25">
      <c r="A52" t="s">
        <v>967</v>
      </c>
      <c r="B52" s="6" t="s">
        <v>872</v>
      </c>
      <c r="C52" s="3">
        <v>80.790000000000006</v>
      </c>
      <c r="D52" s="3">
        <v>106.64</v>
      </c>
      <c r="E52" s="3">
        <f>product_tbl[[#This Row],[selling_price]]-product_tbl[[#This Row],[cost_price]]</f>
        <v>25.849999999999994</v>
      </c>
      <c r="F52" s="3" t="str">
        <f>"P."&amp;(product_tbl[[#This Row],[product_id]]&amp;"."&amp;TEXT(product_tbl[[#This Row],[selling_price]],"0.00"))</f>
        <v>P.P.id12.106.64</v>
      </c>
    </row>
    <row r="53" spans="1:6" x14ac:dyDescent="0.25">
      <c r="A53" t="s">
        <v>960</v>
      </c>
      <c r="B53" s="6" t="s">
        <v>839</v>
      </c>
      <c r="C53" s="3">
        <v>57.91</v>
      </c>
      <c r="D53" s="3">
        <v>82.81</v>
      </c>
      <c r="E53" s="3">
        <f>product_tbl[[#This Row],[selling_price]]-product_tbl[[#This Row],[cost_price]]</f>
        <v>24.900000000000006</v>
      </c>
      <c r="F53" s="3" t="str">
        <f>"P."&amp;(product_tbl[[#This Row],[product_id]]&amp;"."&amp;TEXT(product_tbl[[#This Row],[selling_price]],"0.00"))</f>
        <v>P.P.id05.82.81</v>
      </c>
    </row>
    <row r="54" spans="1:6" x14ac:dyDescent="0.25">
      <c r="A54" t="s">
        <v>961</v>
      </c>
      <c r="B54" s="6" t="s">
        <v>940</v>
      </c>
      <c r="C54" s="3">
        <v>166.6</v>
      </c>
      <c r="D54" s="3">
        <v>239.9</v>
      </c>
      <c r="E54" s="3">
        <f>product_tbl[[#This Row],[selling_price]]-product_tbl[[#This Row],[cost_price]]</f>
        <v>73.300000000000011</v>
      </c>
      <c r="F54" s="3" t="str">
        <f>"P."&amp;(product_tbl[[#This Row],[product_id]]&amp;"."&amp;TEXT(product_tbl[[#This Row],[selling_price]],"0.00"))</f>
        <v>P.P.id06.239.90</v>
      </c>
    </row>
    <row r="55" spans="1:6" x14ac:dyDescent="0.25">
      <c r="A55" t="s">
        <v>967</v>
      </c>
      <c r="B55" s="6" t="s">
        <v>872</v>
      </c>
      <c r="C55" s="3">
        <v>74.569999999999993</v>
      </c>
      <c r="D55" s="3">
        <v>103.65</v>
      </c>
      <c r="E55" s="3">
        <f>product_tbl[[#This Row],[selling_price]]-product_tbl[[#This Row],[cost_price]]</f>
        <v>29.080000000000013</v>
      </c>
      <c r="F55" s="3" t="str">
        <f>"P."&amp;(product_tbl[[#This Row],[product_id]]&amp;"."&amp;TEXT(product_tbl[[#This Row],[selling_price]],"0.00"))</f>
        <v>P.P.id12.103.65</v>
      </c>
    </row>
    <row r="56" spans="1:6" x14ac:dyDescent="0.25">
      <c r="A56" t="s">
        <v>960</v>
      </c>
      <c r="B56" s="6" t="s">
        <v>839</v>
      </c>
      <c r="C56" s="3">
        <v>59.78</v>
      </c>
      <c r="D56" s="3">
        <v>71.14</v>
      </c>
      <c r="E56" s="3">
        <f>product_tbl[[#This Row],[selling_price]]-product_tbl[[#This Row],[cost_price]]</f>
        <v>11.36</v>
      </c>
      <c r="F56" s="3" t="str">
        <f>"P."&amp;(product_tbl[[#This Row],[product_id]]&amp;"."&amp;TEXT(product_tbl[[#This Row],[selling_price]],"0.00"))</f>
        <v>P.P.id05.71.14</v>
      </c>
    </row>
    <row r="57" spans="1:6" x14ac:dyDescent="0.25">
      <c r="A57" t="s">
        <v>963</v>
      </c>
      <c r="B57" s="6" t="s">
        <v>942</v>
      </c>
      <c r="C57" s="3">
        <v>110.83</v>
      </c>
      <c r="D57" s="3">
        <v>169.57</v>
      </c>
      <c r="E57" s="3">
        <f>product_tbl[[#This Row],[selling_price]]-product_tbl[[#This Row],[cost_price]]</f>
        <v>58.739999999999995</v>
      </c>
      <c r="F57" s="3" t="str">
        <f>"P."&amp;(product_tbl[[#This Row],[product_id]]&amp;"."&amp;TEXT(product_tbl[[#This Row],[selling_price]],"0.00"))</f>
        <v>P.P.id08.169.57</v>
      </c>
    </row>
    <row r="58" spans="1:6" x14ac:dyDescent="0.25">
      <c r="A58" t="s">
        <v>962</v>
      </c>
      <c r="B58" s="6" t="s">
        <v>941</v>
      </c>
      <c r="C58" s="3">
        <v>32.479999999999997</v>
      </c>
      <c r="D58" s="3">
        <v>41.9</v>
      </c>
      <c r="E58" s="3">
        <f>product_tbl[[#This Row],[selling_price]]-product_tbl[[#This Row],[cost_price]]</f>
        <v>9.4200000000000017</v>
      </c>
      <c r="F58" s="3" t="str">
        <f>"P."&amp;(product_tbl[[#This Row],[product_id]]&amp;"."&amp;TEXT(product_tbl[[#This Row],[selling_price]],"0.00"))</f>
        <v>P.P.id07.41.90</v>
      </c>
    </row>
    <row r="59" spans="1:6" x14ac:dyDescent="0.25">
      <c r="A59" t="s">
        <v>963</v>
      </c>
      <c r="B59" s="6" t="s">
        <v>942</v>
      </c>
      <c r="C59" s="3">
        <v>161.43</v>
      </c>
      <c r="D59" s="3">
        <v>198.56</v>
      </c>
      <c r="E59" s="3">
        <f>product_tbl[[#This Row],[selling_price]]-product_tbl[[#This Row],[cost_price]]</f>
        <v>37.129999999999995</v>
      </c>
      <c r="F59" s="3" t="str">
        <f>"P."&amp;(product_tbl[[#This Row],[product_id]]&amp;"."&amp;TEXT(product_tbl[[#This Row],[selling_price]],"0.00"))</f>
        <v>P.P.id08.198.56</v>
      </c>
    </row>
    <row r="60" spans="1:6" x14ac:dyDescent="0.25">
      <c r="A60" t="s">
        <v>957</v>
      </c>
      <c r="B60" s="6" t="s">
        <v>833</v>
      </c>
      <c r="C60" s="3">
        <v>19.54</v>
      </c>
      <c r="D60" s="3">
        <v>22.86</v>
      </c>
      <c r="E60" s="3">
        <f>product_tbl[[#This Row],[selling_price]]-product_tbl[[#This Row],[cost_price]]</f>
        <v>3.3200000000000003</v>
      </c>
      <c r="F60" s="3" t="str">
        <f>"P."&amp;(product_tbl[[#This Row],[product_id]]&amp;"."&amp;TEXT(product_tbl[[#This Row],[selling_price]],"0.00"))</f>
        <v>P.P.id02.22.86</v>
      </c>
    </row>
    <row r="61" spans="1:6" x14ac:dyDescent="0.25">
      <c r="A61" t="s">
        <v>959</v>
      </c>
      <c r="B61" s="6" t="s">
        <v>837</v>
      </c>
      <c r="C61" s="3">
        <v>197.44</v>
      </c>
      <c r="D61" s="3">
        <v>280.36</v>
      </c>
      <c r="E61" s="3">
        <f>product_tbl[[#This Row],[selling_price]]-product_tbl[[#This Row],[cost_price]]</f>
        <v>82.920000000000016</v>
      </c>
      <c r="F61" s="3" t="str">
        <f>"P."&amp;(product_tbl[[#This Row],[product_id]]&amp;"."&amp;TEXT(product_tbl[[#This Row],[selling_price]],"0.00"))</f>
        <v>P.P.id04.280.36</v>
      </c>
    </row>
    <row r="62" spans="1:6" x14ac:dyDescent="0.25">
      <c r="A62" t="s">
        <v>957</v>
      </c>
      <c r="B62" s="6" t="s">
        <v>833</v>
      </c>
      <c r="C62" s="3">
        <v>155.59</v>
      </c>
      <c r="D62" s="3">
        <v>225.61</v>
      </c>
      <c r="E62" s="3">
        <f>product_tbl[[#This Row],[selling_price]]-product_tbl[[#This Row],[cost_price]]</f>
        <v>70.02000000000001</v>
      </c>
      <c r="F62" s="3" t="str">
        <f>"P."&amp;(product_tbl[[#This Row],[product_id]]&amp;"."&amp;TEXT(product_tbl[[#This Row],[selling_price]],"0.00"))</f>
        <v>P.P.id02.225.61</v>
      </c>
    </row>
    <row r="63" spans="1:6" x14ac:dyDescent="0.25">
      <c r="A63" t="s">
        <v>967</v>
      </c>
      <c r="B63" s="6" t="s">
        <v>872</v>
      </c>
      <c r="C63" s="3">
        <v>43.75</v>
      </c>
      <c r="D63" s="3">
        <v>50.75</v>
      </c>
      <c r="E63" s="3">
        <f>product_tbl[[#This Row],[selling_price]]-product_tbl[[#This Row],[cost_price]]</f>
        <v>7</v>
      </c>
      <c r="F63" s="3" t="str">
        <f>"P."&amp;(product_tbl[[#This Row],[product_id]]&amp;"."&amp;TEXT(product_tbl[[#This Row],[selling_price]],"0.00"))</f>
        <v>P.P.id12.50.75</v>
      </c>
    </row>
    <row r="64" spans="1:6" x14ac:dyDescent="0.25">
      <c r="A64" t="s">
        <v>963</v>
      </c>
      <c r="B64" s="6" t="s">
        <v>942</v>
      </c>
      <c r="C64" s="3">
        <v>6.08</v>
      </c>
      <c r="D64" s="3">
        <v>8.39</v>
      </c>
      <c r="E64" s="3">
        <f>product_tbl[[#This Row],[selling_price]]-product_tbl[[#This Row],[cost_price]]</f>
        <v>2.3100000000000005</v>
      </c>
      <c r="F64" s="3" t="str">
        <f>"P."&amp;(product_tbl[[#This Row],[product_id]]&amp;"."&amp;TEXT(product_tbl[[#This Row],[selling_price]],"0.00"))</f>
        <v>P.P.id08.8.39</v>
      </c>
    </row>
    <row r="65" spans="1:6" x14ac:dyDescent="0.25">
      <c r="A65" t="s">
        <v>961</v>
      </c>
      <c r="B65" s="6" t="s">
        <v>940</v>
      </c>
      <c r="C65" s="3">
        <v>164.01</v>
      </c>
      <c r="D65" s="3">
        <v>205.01</v>
      </c>
      <c r="E65" s="3">
        <f>product_tbl[[#This Row],[selling_price]]-product_tbl[[#This Row],[cost_price]]</f>
        <v>41</v>
      </c>
      <c r="F65" s="3" t="str">
        <f>"P."&amp;(product_tbl[[#This Row],[product_id]]&amp;"."&amp;TEXT(product_tbl[[#This Row],[selling_price]],"0.00"))</f>
        <v>P.P.id06.205.01</v>
      </c>
    </row>
    <row r="66" spans="1:6" x14ac:dyDescent="0.25">
      <c r="A66" t="s">
        <v>963</v>
      </c>
      <c r="B66" s="6" t="s">
        <v>942</v>
      </c>
      <c r="C66" s="3">
        <v>142.84</v>
      </c>
      <c r="D66" s="3">
        <v>205.69</v>
      </c>
      <c r="E66" s="3">
        <f>product_tbl[[#This Row],[selling_price]]-product_tbl[[#This Row],[cost_price]]</f>
        <v>62.849999999999994</v>
      </c>
      <c r="F66" s="3" t="str">
        <f>"P."&amp;(product_tbl[[#This Row],[product_id]]&amp;"."&amp;TEXT(product_tbl[[#This Row],[selling_price]],"0.00"))</f>
        <v>P.P.id08.205.69</v>
      </c>
    </row>
    <row r="67" spans="1:6" x14ac:dyDescent="0.25">
      <c r="A67" t="s">
        <v>963</v>
      </c>
      <c r="B67" s="6" t="s">
        <v>942</v>
      </c>
      <c r="C67" s="3">
        <v>147.16</v>
      </c>
      <c r="D67" s="3">
        <v>181.01</v>
      </c>
      <c r="E67" s="3">
        <f>product_tbl[[#This Row],[selling_price]]-product_tbl[[#This Row],[cost_price]]</f>
        <v>33.849999999999994</v>
      </c>
      <c r="F67" s="3" t="str">
        <f>"P."&amp;(product_tbl[[#This Row],[product_id]]&amp;"."&amp;TEXT(product_tbl[[#This Row],[selling_price]],"0.00"))</f>
        <v>P.P.id08.181.01</v>
      </c>
    </row>
    <row r="68" spans="1:6" x14ac:dyDescent="0.25">
      <c r="A68" t="s">
        <v>967</v>
      </c>
      <c r="B68" s="6" t="s">
        <v>872</v>
      </c>
      <c r="C68" s="3">
        <v>155.4</v>
      </c>
      <c r="D68" s="3">
        <v>226.88</v>
      </c>
      <c r="E68" s="3">
        <f>product_tbl[[#This Row],[selling_price]]-product_tbl[[#This Row],[cost_price]]</f>
        <v>71.47999999999999</v>
      </c>
      <c r="F68" s="3" t="str">
        <f>"P."&amp;(product_tbl[[#This Row],[product_id]]&amp;"."&amp;TEXT(product_tbl[[#This Row],[selling_price]],"0.00"))</f>
        <v>P.P.id12.226.88</v>
      </c>
    </row>
    <row r="69" spans="1:6" x14ac:dyDescent="0.25">
      <c r="A69" t="s">
        <v>967</v>
      </c>
      <c r="B69" s="6" t="s">
        <v>872</v>
      </c>
      <c r="C69" s="3">
        <v>19.440000000000001</v>
      </c>
      <c r="D69" s="3">
        <v>25.66</v>
      </c>
      <c r="E69" s="3">
        <f>product_tbl[[#This Row],[selling_price]]-product_tbl[[#This Row],[cost_price]]</f>
        <v>6.2199999999999989</v>
      </c>
      <c r="F69" s="3" t="str">
        <f>"P."&amp;(product_tbl[[#This Row],[product_id]]&amp;"."&amp;TEXT(product_tbl[[#This Row],[selling_price]],"0.00"))</f>
        <v>P.P.id12.25.66</v>
      </c>
    </row>
    <row r="70" spans="1:6" x14ac:dyDescent="0.25">
      <c r="A70" t="s">
        <v>966</v>
      </c>
      <c r="B70" s="6" t="s">
        <v>851</v>
      </c>
      <c r="C70" s="3">
        <v>74.900000000000006</v>
      </c>
      <c r="D70" s="3">
        <v>117.59</v>
      </c>
      <c r="E70" s="3">
        <f>product_tbl[[#This Row],[selling_price]]-product_tbl[[#This Row],[cost_price]]</f>
        <v>42.69</v>
      </c>
      <c r="F70" s="3" t="str">
        <f>"P."&amp;(product_tbl[[#This Row],[product_id]]&amp;"."&amp;TEXT(product_tbl[[#This Row],[selling_price]],"0.00"))</f>
        <v>P.P.id11.117.59</v>
      </c>
    </row>
    <row r="71" spans="1:6" x14ac:dyDescent="0.25">
      <c r="A71" t="s">
        <v>963</v>
      </c>
      <c r="B71" s="6" t="s">
        <v>942</v>
      </c>
      <c r="C71" s="3">
        <v>27.59</v>
      </c>
      <c r="D71" s="3">
        <v>33.380000000000003</v>
      </c>
      <c r="E71" s="3">
        <f>product_tbl[[#This Row],[selling_price]]-product_tbl[[#This Row],[cost_price]]</f>
        <v>5.7900000000000027</v>
      </c>
      <c r="F71" s="3" t="str">
        <f>"P."&amp;(product_tbl[[#This Row],[product_id]]&amp;"."&amp;TEXT(product_tbl[[#This Row],[selling_price]],"0.00"))</f>
        <v>P.P.id08.33.38</v>
      </c>
    </row>
    <row r="72" spans="1:6" x14ac:dyDescent="0.25">
      <c r="A72" t="s">
        <v>957</v>
      </c>
      <c r="B72" s="6" t="s">
        <v>833</v>
      </c>
      <c r="C72" s="3">
        <v>173.31</v>
      </c>
      <c r="D72" s="3">
        <v>225.3</v>
      </c>
      <c r="E72" s="3">
        <f>product_tbl[[#This Row],[selling_price]]-product_tbl[[#This Row],[cost_price]]</f>
        <v>51.990000000000009</v>
      </c>
      <c r="F72" s="3" t="str">
        <f>"P."&amp;(product_tbl[[#This Row],[product_id]]&amp;"."&amp;TEXT(product_tbl[[#This Row],[selling_price]],"0.00"))</f>
        <v>P.P.id02.225.30</v>
      </c>
    </row>
    <row r="73" spans="1:6" x14ac:dyDescent="0.25">
      <c r="A73" t="s">
        <v>963</v>
      </c>
      <c r="B73" s="6" t="s">
        <v>942</v>
      </c>
      <c r="C73" s="3">
        <v>126.54</v>
      </c>
      <c r="D73" s="3">
        <v>151.85</v>
      </c>
      <c r="E73" s="3">
        <f>product_tbl[[#This Row],[selling_price]]-product_tbl[[#This Row],[cost_price]]</f>
        <v>25.309999999999988</v>
      </c>
      <c r="F73" s="3" t="str">
        <f>"P."&amp;(product_tbl[[#This Row],[product_id]]&amp;"."&amp;TEXT(product_tbl[[#This Row],[selling_price]],"0.00"))</f>
        <v>P.P.id08.151.85</v>
      </c>
    </row>
    <row r="74" spans="1:6" x14ac:dyDescent="0.25">
      <c r="A74" t="s">
        <v>967</v>
      </c>
      <c r="B74" s="6" t="s">
        <v>872</v>
      </c>
      <c r="C74" s="3">
        <v>69.53</v>
      </c>
      <c r="D74" s="3">
        <v>109.16</v>
      </c>
      <c r="E74" s="3">
        <f>product_tbl[[#This Row],[selling_price]]-product_tbl[[#This Row],[cost_price]]</f>
        <v>39.629999999999995</v>
      </c>
      <c r="F74" s="3" t="str">
        <f>"P."&amp;(product_tbl[[#This Row],[product_id]]&amp;"."&amp;TEXT(product_tbl[[#This Row],[selling_price]],"0.00"))</f>
        <v>P.P.id12.109.16</v>
      </c>
    </row>
    <row r="75" spans="1:6" x14ac:dyDescent="0.25">
      <c r="A75" t="s">
        <v>956</v>
      </c>
      <c r="B75" s="6" t="s">
        <v>831</v>
      </c>
      <c r="C75" s="3">
        <v>17.39</v>
      </c>
      <c r="D75" s="3">
        <v>26.78</v>
      </c>
      <c r="E75" s="3">
        <f>product_tbl[[#This Row],[selling_price]]-product_tbl[[#This Row],[cost_price]]</f>
        <v>9.39</v>
      </c>
      <c r="F75" s="3" t="str">
        <f>"P."&amp;(product_tbl[[#This Row],[product_id]]&amp;"."&amp;TEXT(product_tbl[[#This Row],[selling_price]],"0.00"))</f>
        <v>P.P.id01.26.78</v>
      </c>
    </row>
    <row r="76" spans="1:6" x14ac:dyDescent="0.25">
      <c r="A76" t="s">
        <v>964</v>
      </c>
      <c r="B76" s="6" t="s">
        <v>943</v>
      </c>
      <c r="C76" s="3">
        <v>65.64</v>
      </c>
      <c r="D76" s="3">
        <v>83.36</v>
      </c>
      <c r="E76" s="3">
        <f>product_tbl[[#This Row],[selling_price]]-product_tbl[[#This Row],[cost_price]]</f>
        <v>17.72</v>
      </c>
      <c r="F76" s="3" t="str">
        <f>"P."&amp;(product_tbl[[#This Row],[product_id]]&amp;"."&amp;TEXT(product_tbl[[#This Row],[selling_price]],"0.00"))</f>
        <v>P.P.id09.83.36</v>
      </c>
    </row>
    <row r="77" spans="1:6" x14ac:dyDescent="0.25">
      <c r="A77" t="s">
        <v>964</v>
      </c>
      <c r="B77" s="6" t="s">
        <v>943</v>
      </c>
      <c r="C77" s="3">
        <v>68.41</v>
      </c>
      <c r="D77" s="3">
        <v>99.19</v>
      </c>
      <c r="E77" s="3">
        <f>product_tbl[[#This Row],[selling_price]]-product_tbl[[#This Row],[cost_price]]</f>
        <v>30.78</v>
      </c>
      <c r="F77" s="3" t="str">
        <f>"P."&amp;(product_tbl[[#This Row],[product_id]]&amp;"."&amp;TEXT(product_tbl[[#This Row],[selling_price]],"0.00"))</f>
        <v>P.P.id09.99.19</v>
      </c>
    </row>
    <row r="78" spans="1:6" x14ac:dyDescent="0.25">
      <c r="A78" t="s">
        <v>963</v>
      </c>
      <c r="B78" s="6" t="s">
        <v>942</v>
      </c>
      <c r="C78" s="3">
        <v>147.27000000000001</v>
      </c>
      <c r="D78" s="3">
        <v>223.85</v>
      </c>
      <c r="E78" s="3">
        <f>product_tbl[[#This Row],[selling_price]]-product_tbl[[#This Row],[cost_price]]</f>
        <v>76.579999999999984</v>
      </c>
      <c r="F78" s="3" t="str">
        <f>"P."&amp;(product_tbl[[#This Row],[product_id]]&amp;"."&amp;TEXT(product_tbl[[#This Row],[selling_price]],"0.00"))</f>
        <v>P.P.id08.223.85</v>
      </c>
    </row>
    <row r="79" spans="1:6" x14ac:dyDescent="0.25">
      <c r="A79" t="s">
        <v>965</v>
      </c>
      <c r="B79" s="6" t="s">
        <v>847</v>
      </c>
      <c r="C79" s="3">
        <v>129.32</v>
      </c>
      <c r="D79" s="3">
        <v>181.05</v>
      </c>
      <c r="E79" s="3">
        <f>product_tbl[[#This Row],[selling_price]]-product_tbl[[#This Row],[cost_price]]</f>
        <v>51.730000000000018</v>
      </c>
      <c r="F79" s="3" t="str">
        <f>"P."&amp;(product_tbl[[#This Row],[product_id]]&amp;"."&amp;TEXT(product_tbl[[#This Row],[selling_price]],"0.00"))</f>
        <v>P.P.id10.181.05</v>
      </c>
    </row>
    <row r="80" spans="1:6" x14ac:dyDescent="0.25">
      <c r="A80" t="s">
        <v>958</v>
      </c>
      <c r="B80" s="6" t="s">
        <v>939</v>
      </c>
      <c r="C80" s="3">
        <v>178.01</v>
      </c>
      <c r="D80" s="3">
        <v>247.43</v>
      </c>
      <c r="E80" s="3">
        <f>product_tbl[[#This Row],[selling_price]]-product_tbl[[#This Row],[cost_price]]</f>
        <v>69.420000000000016</v>
      </c>
      <c r="F80" s="3" t="str">
        <f>"P."&amp;(product_tbl[[#This Row],[product_id]]&amp;"."&amp;TEXT(product_tbl[[#This Row],[selling_price]],"0.00"))</f>
        <v>P.P.id03.247.43</v>
      </c>
    </row>
    <row r="81" spans="1:6" x14ac:dyDescent="0.25">
      <c r="A81" t="s">
        <v>960</v>
      </c>
      <c r="B81" s="6" t="s">
        <v>839</v>
      </c>
      <c r="C81" s="3">
        <v>97.08</v>
      </c>
      <c r="D81" s="3">
        <v>122.32</v>
      </c>
      <c r="E81" s="3">
        <f>product_tbl[[#This Row],[selling_price]]-product_tbl[[#This Row],[cost_price]]</f>
        <v>25.239999999999995</v>
      </c>
      <c r="F81" s="3" t="str">
        <f>"P."&amp;(product_tbl[[#This Row],[product_id]]&amp;"."&amp;TEXT(product_tbl[[#This Row],[selling_price]],"0.00"))</f>
        <v>P.P.id05.122.32</v>
      </c>
    </row>
    <row r="82" spans="1:6" x14ac:dyDescent="0.25">
      <c r="A82" t="s">
        <v>957</v>
      </c>
      <c r="B82" s="6" t="s">
        <v>833</v>
      </c>
      <c r="C82" s="3">
        <v>28.32</v>
      </c>
      <c r="D82" s="3">
        <v>33.700000000000003</v>
      </c>
      <c r="E82" s="3">
        <f>product_tbl[[#This Row],[selling_price]]-product_tbl[[#This Row],[cost_price]]</f>
        <v>5.3800000000000026</v>
      </c>
      <c r="F82" s="3" t="str">
        <f>"P."&amp;(product_tbl[[#This Row],[product_id]]&amp;"."&amp;TEXT(product_tbl[[#This Row],[selling_price]],"0.00"))</f>
        <v>P.P.id02.33.70</v>
      </c>
    </row>
    <row r="83" spans="1:6" x14ac:dyDescent="0.25">
      <c r="A83" t="s">
        <v>960</v>
      </c>
      <c r="B83" s="6" t="s">
        <v>839</v>
      </c>
      <c r="C83" s="3">
        <v>144.08000000000001</v>
      </c>
      <c r="D83" s="3">
        <v>223.32</v>
      </c>
      <c r="E83" s="3">
        <f>product_tbl[[#This Row],[selling_price]]-product_tbl[[#This Row],[cost_price]]</f>
        <v>79.239999999999981</v>
      </c>
      <c r="F83" s="3" t="str">
        <f>"P."&amp;(product_tbl[[#This Row],[product_id]]&amp;"."&amp;TEXT(product_tbl[[#This Row],[selling_price]],"0.00"))</f>
        <v>P.P.id05.223.32</v>
      </c>
    </row>
    <row r="84" spans="1:6" x14ac:dyDescent="0.25">
      <c r="A84" t="s">
        <v>963</v>
      </c>
      <c r="B84" s="6" t="s">
        <v>942</v>
      </c>
      <c r="C84" s="3">
        <v>153.35</v>
      </c>
      <c r="D84" s="3">
        <v>239.23</v>
      </c>
      <c r="E84" s="3">
        <f>product_tbl[[#This Row],[selling_price]]-product_tbl[[#This Row],[cost_price]]</f>
        <v>85.88</v>
      </c>
      <c r="F84" s="3" t="str">
        <f>"P."&amp;(product_tbl[[#This Row],[product_id]]&amp;"."&amp;TEXT(product_tbl[[#This Row],[selling_price]],"0.00"))</f>
        <v>P.P.id08.239.23</v>
      </c>
    </row>
    <row r="85" spans="1:6" x14ac:dyDescent="0.25">
      <c r="A85" t="s">
        <v>963</v>
      </c>
      <c r="B85" s="6" t="s">
        <v>942</v>
      </c>
      <c r="C85" s="3">
        <v>114.45</v>
      </c>
      <c r="D85" s="3">
        <v>163.66</v>
      </c>
      <c r="E85" s="3">
        <f>product_tbl[[#This Row],[selling_price]]-product_tbl[[#This Row],[cost_price]]</f>
        <v>49.209999999999994</v>
      </c>
      <c r="F85" s="3" t="str">
        <f>"P."&amp;(product_tbl[[#This Row],[product_id]]&amp;"."&amp;TEXT(product_tbl[[#This Row],[selling_price]],"0.00"))</f>
        <v>P.P.id08.163.66</v>
      </c>
    </row>
    <row r="86" spans="1:6" x14ac:dyDescent="0.25">
      <c r="A86" t="s">
        <v>966</v>
      </c>
      <c r="B86" s="6" t="s">
        <v>851</v>
      </c>
      <c r="C86" s="3">
        <v>155.34</v>
      </c>
      <c r="D86" s="3">
        <v>201.94</v>
      </c>
      <c r="E86" s="3">
        <f>product_tbl[[#This Row],[selling_price]]-product_tbl[[#This Row],[cost_price]]</f>
        <v>46.599999999999994</v>
      </c>
      <c r="F86" s="3" t="str">
        <f>"P."&amp;(product_tbl[[#This Row],[product_id]]&amp;"."&amp;TEXT(product_tbl[[#This Row],[selling_price]],"0.00"))</f>
        <v>P.P.id11.201.94</v>
      </c>
    </row>
    <row r="87" spans="1:6" x14ac:dyDescent="0.25">
      <c r="A87" t="s">
        <v>965</v>
      </c>
      <c r="B87" s="6" t="s">
        <v>847</v>
      </c>
      <c r="C87" s="3">
        <v>101.29</v>
      </c>
      <c r="D87" s="3">
        <v>132.69</v>
      </c>
      <c r="E87" s="3">
        <f>product_tbl[[#This Row],[selling_price]]-product_tbl[[#This Row],[cost_price]]</f>
        <v>31.399999999999991</v>
      </c>
      <c r="F87" s="3" t="str">
        <f>"P."&amp;(product_tbl[[#This Row],[product_id]]&amp;"."&amp;TEXT(product_tbl[[#This Row],[selling_price]],"0.00"))</f>
        <v>P.P.id10.132.69</v>
      </c>
    </row>
    <row r="88" spans="1:6" x14ac:dyDescent="0.25">
      <c r="A88" t="s">
        <v>960</v>
      </c>
      <c r="B88" s="6" t="s">
        <v>839</v>
      </c>
      <c r="C88" s="3">
        <v>106.93</v>
      </c>
      <c r="D88" s="3">
        <v>158.26</v>
      </c>
      <c r="E88" s="3">
        <f>product_tbl[[#This Row],[selling_price]]-product_tbl[[#This Row],[cost_price]]</f>
        <v>51.329999999999984</v>
      </c>
      <c r="F88" s="3" t="str">
        <f>"P."&amp;(product_tbl[[#This Row],[product_id]]&amp;"."&amp;TEXT(product_tbl[[#This Row],[selling_price]],"0.00"))</f>
        <v>P.P.id05.158.26</v>
      </c>
    </row>
    <row r="89" spans="1:6" x14ac:dyDescent="0.25">
      <c r="A89" t="s">
        <v>964</v>
      </c>
      <c r="B89" s="6" t="s">
        <v>943</v>
      </c>
      <c r="C89" s="3">
        <v>88.37</v>
      </c>
      <c r="D89" s="3">
        <v>136.97</v>
      </c>
      <c r="E89" s="3">
        <f>product_tbl[[#This Row],[selling_price]]-product_tbl[[#This Row],[cost_price]]</f>
        <v>48.599999999999994</v>
      </c>
      <c r="F89" s="3" t="str">
        <f>"P."&amp;(product_tbl[[#This Row],[product_id]]&amp;"."&amp;TEXT(product_tbl[[#This Row],[selling_price]],"0.00"))</f>
        <v>P.P.id09.136.97</v>
      </c>
    </row>
    <row r="90" spans="1:6" x14ac:dyDescent="0.25">
      <c r="A90" t="s">
        <v>965</v>
      </c>
      <c r="B90" s="6" t="s">
        <v>847</v>
      </c>
      <c r="C90" s="3">
        <v>9.9600000000000009</v>
      </c>
      <c r="D90" s="3">
        <v>15.44</v>
      </c>
      <c r="E90" s="3">
        <f>product_tbl[[#This Row],[selling_price]]-product_tbl[[#This Row],[cost_price]]</f>
        <v>5.4799999999999986</v>
      </c>
      <c r="F90" s="3" t="str">
        <f>"P."&amp;(product_tbl[[#This Row],[product_id]]&amp;"."&amp;TEXT(product_tbl[[#This Row],[selling_price]],"0.00"))</f>
        <v>P.P.id10.15.44</v>
      </c>
    </row>
    <row r="91" spans="1:6" x14ac:dyDescent="0.25">
      <c r="A91" t="s">
        <v>958</v>
      </c>
      <c r="B91" s="6" t="s">
        <v>939</v>
      </c>
      <c r="C91" s="3">
        <v>26.04</v>
      </c>
      <c r="D91" s="3">
        <v>39.06</v>
      </c>
      <c r="E91" s="3">
        <f>product_tbl[[#This Row],[selling_price]]-product_tbl[[#This Row],[cost_price]]</f>
        <v>13.020000000000003</v>
      </c>
      <c r="F91" s="3" t="str">
        <f>"P."&amp;(product_tbl[[#This Row],[product_id]]&amp;"."&amp;TEXT(product_tbl[[#This Row],[selling_price]],"0.00"))</f>
        <v>P.P.id03.39.06</v>
      </c>
    </row>
  </sheetData>
  <phoneticPr fontId="4" type="noConversion"/>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A968-9923-45CE-961C-1824523BD5FD}">
  <dimension ref="A1:F221"/>
  <sheetViews>
    <sheetView workbookViewId="0">
      <selection activeCell="G28" sqref="G28"/>
    </sheetView>
  </sheetViews>
  <sheetFormatPr defaultRowHeight="15" x14ac:dyDescent="0.25"/>
  <cols>
    <col min="1" max="1" width="14.140625" bestFit="1" customWidth="1"/>
    <col min="2" max="2" width="9.5703125" bestFit="1" customWidth="1"/>
    <col min="3" max="3" width="9" bestFit="1" customWidth="1"/>
    <col min="4" max="4" width="14.140625" bestFit="1" customWidth="1"/>
    <col min="5" max="5" width="15.7109375" bestFit="1" customWidth="1"/>
    <col min="6" max="6" width="21.42578125" bestFit="1" customWidth="1"/>
    <col min="7" max="7" width="24.85546875" bestFit="1" customWidth="1"/>
    <col min="8" max="8" width="20.85546875" bestFit="1" customWidth="1"/>
    <col min="9" max="9" width="23.140625" bestFit="1" customWidth="1"/>
    <col min="10" max="10" width="14.7109375" bestFit="1" customWidth="1"/>
    <col min="11" max="11" width="12.42578125" bestFit="1" customWidth="1"/>
    <col min="12" max="12" width="17.28515625" bestFit="1" customWidth="1"/>
    <col min="13" max="13" width="19.7109375" bestFit="1" customWidth="1"/>
    <col min="14" max="14" width="18.140625" bestFit="1" customWidth="1"/>
    <col min="15" max="15" width="16" bestFit="1" customWidth="1"/>
    <col min="16" max="16" width="12.85546875" bestFit="1" customWidth="1"/>
    <col min="17" max="17" width="16.140625" bestFit="1" customWidth="1"/>
    <col min="18" max="18" width="20.7109375" bestFit="1" customWidth="1"/>
  </cols>
  <sheetData>
    <row r="1" spans="1:6" x14ac:dyDescent="0.25">
      <c r="A1" t="s">
        <v>3</v>
      </c>
      <c r="B1" t="s">
        <v>414</v>
      </c>
      <c r="C1" t="s">
        <v>415</v>
      </c>
      <c r="D1" t="s">
        <v>416</v>
      </c>
      <c r="E1" t="s">
        <v>417</v>
      </c>
      <c r="F1" t="s">
        <v>945</v>
      </c>
    </row>
    <row r="2" spans="1:6" x14ac:dyDescent="0.25">
      <c r="A2" t="str">
        <f t="shared" ref="A2:A65" si="0">"customer"&amp;ROW(A1)</f>
        <v>customer1</v>
      </c>
      <c r="B2" t="s">
        <v>427</v>
      </c>
      <c r="C2" t="s">
        <v>420</v>
      </c>
      <c r="D2" s="9">
        <v>45529</v>
      </c>
      <c r="E2" t="s">
        <v>425</v>
      </c>
      <c r="F2" t="s">
        <v>954</v>
      </c>
    </row>
    <row r="3" spans="1:6" x14ac:dyDescent="0.25">
      <c r="A3" t="str">
        <f t="shared" si="0"/>
        <v>customer2</v>
      </c>
      <c r="B3" t="s">
        <v>419</v>
      </c>
      <c r="C3" t="s">
        <v>428</v>
      </c>
      <c r="D3" s="9">
        <v>45477</v>
      </c>
      <c r="E3" t="s">
        <v>425</v>
      </c>
      <c r="F3" t="s">
        <v>948</v>
      </c>
    </row>
    <row r="4" spans="1:6" x14ac:dyDescent="0.25">
      <c r="A4" t="str">
        <f t="shared" si="0"/>
        <v>customer3</v>
      </c>
      <c r="B4" t="s">
        <v>419</v>
      </c>
      <c r="C4" t="s">
        <v>435</v>
      </c>
      <c r="D4" s="9">
        <v>44401</v>
      </c>
      <c r="E4" t="s">
        <v>425</v>
      </c>
      <c r="F4" t="s">
        <v>950</v>
      </c>
    </row>
    <row r="5" spans="1:6" x14ac:dyDescent="0.25">
      <c r="A5" t="str">
        <f t="shared" si="0"/>
        <v>customer4</v>
      </c>
      <c r="B5" t="s">
        <v>427</v>
      </c>
      <c r="C5" t="s">
        <v>420</v>
      </c>
      <c r="D5" s="9">
        <v>44198</v>
      </c>
      <c r="E5" t="s">
        <v>421</v>
      </c>
      <c r="F5" t="s">
        <v>946</v>
      </c>
    </row>
    <row r="6" spans="1:6" x14ac:dyDescent="0.25">
      <c r="A6" t="str">
        <f t="shared" si="0"/>
        <v>customer5</v>
      </c>
      <c r="B6" t="s">
        <v>431</v>
      </c>
      <c r="C6" t="s">
        <v>420</v>
      </c>
      <c r="D6" s="9">
        <v>44547</v>
      </c>
      <c r="E6" t="s">
        <v>421</v>
      </c>
      <c r="F6" t="s">
        <v>954</v>
      </c>
    </row>
    <row r="7" spans="1:6" x14ac:dyDescent="0.25">
      <c r="A7" t="str">
        <f t="shared" si="0"/>
        <v>customer6</v>
      </c>
      <c r="B7" t="s">
        <v>419</v>
      </c>
      <c r="C7" t="s">
        <v>435</v>
      </c>
      <c r="D7" s="9">
        <v>45304</v>
      </c>
      <c r="E7" t="s">
        <v>433</v>
      </c>
      <c r="F7" t="s">
        <v>950</v>
      </c>
    </row>
    <row r="8" spans="1:6" x14ac:dyDescent="0.25">
      <c r="A8" t="str">
        <f t="shared" si="0"/>
        <v>customer7</v>
      </c>
      <c r="B8" t="s">
        <v>419</v>
      </c>
      <c r="C8" t="s">
        <v>435</v>
      </c>
      <c r="D8" s="9">
        <v>45398</v>
      </c>
      <c r="E8" t="s">
        <v>425</v>
      </c>
      <c r="F8" t="s">
        <v>950</v>
      </c>
    </row>
    <row r="9" spans="1:6" x14ac:dyDescent="0.25">
      <c r="A9" t="str">
        <f t="shared" si="0"/>
        <v>customer8</v>
      </c>
      <c r="B9" t="s">
        <v>427</v>
      </c>
      <c r="C9" t="s">
        <v>428</v>
      </c>
      <c r="D9" s="9">
        <v>44619</v>
      </c>
      <c r="E9" t="s">
        <v>446</v>
      </c>
      <c r="F9" t="s">
        <v>953</v>
      </c>
    </row>
    <row r="10" spans="1:6" x14ac:dyDescent="0.25">
      <c r="A10" t="str">
        <f t="shared" si="0"/>
        <v>customer9</v>
      </c>
      <c r="B10" t="s">
        <v>427</v>
      </c>
      <c r="C10" t="s">
        <v>428</v>
      </c>
      <c r="D10" s="9">
        <v>44914</v>
      </c>
      <c r="E10" t="s">
        <v>433</v>
      </c>
      <c r="F10" t="s">
        <v>948</v>
      </c>
    </row>
    <row r="11" spans="1:6" x14ac:dyDescent="0.25">
      <c r="A11" t="str">
        <f t="shared" si="0"/>
        <v>customer10</v>
      </c>
      <c r="B11" t="s">
        <v>419</v>
      </c>
      <c r="C11" t="s">
        <v>437</v>
      </c>
      <c r="D11" s="9">
        <v>43974</v>
      </c>
      <c r="E11" t="s">
        <v>421</v>
      </c>
      <c r="F11" t="s">
        <v>955</v>
      </c>
    </row>
    <row r="12" spans="1:6" x14ac:dyDescent="0.25">
      <c r="A12" t="str">
        <f t="shared" si="0"/>
        <v>customer11</v>
      </c>
      <c r="B12" t="s">
        <v>427</v>
      </c>
      <c r="C12" t="s">
        <v>435</v>
      </c>
      <c r="D12" s="9">
        <v>45050</v>
      </c>
      <c r="E12" t="s">
        <v>421</v>
      </c>
      <c r="F12" t="s">
        <v>952</v>
      </c>
    </row>
    <row r="13" spans="1:6" x14ac:dyDescent="0.25">
      <c r="A13" t="str">
        <f t="shared" si="0"/>
        <v>customer12</v>
      </c>
      <c r="B13" t="s">
        <v>427</v>
      </c>
      <c r="C13" t="s">
        <v>428</v>
      </c>
      <c r="D13" s="9">
        <v>44608</v>
      </c>
      <c r="E13" t="s">
        <v>425</v>
      </c>
      <c r="F13" t="s">
        <v>948</v>
      </c>
    </row>
    <row r="14" spans="1:6" x14ac:dyDescent="0.25">
      <c r="A14" t="str">
        <f t="shared" si="0"/>
        <v>customer13</v>
      </c>
      <c r="B14" t="s">
        <v>431</v>
      </c>
      <c r="C14" t="s">
        <v>435</v>
      </c>
      <c r="D14" s="9">
        <v>45213</v>
      </c>
      <c r="E14" t="s">
        <v>425</v>
      </c>
      <c r="F14" t="s">
        <v>950</v>
      </c>
    </row>
    <row r="15" spans="1:6" x14ac:dyDescent="0.25">
      <c r="A15" t="str">
        <f t="shared" si="0"/>
        <v>customer14</v>
      </c>
      <c r="B15" t="s">
        <v>419</v>
      </c>
      <c r="C15" t="s">
        <v>437</v>
      </c>
      <c r="D15" s="9">
        <v>44538</v>
      </c>
      <c r="E15" t="s">
        <v>425</v>
      </c>
      <c r="F15" t="s">
        <v>955</v>
      </c>
    </row>
    <row r="16" spans="1:6" x14ac:dyDescent="0.25">
      <c r="A16" t="str">
        <f t="shared" si="0"/>
        <v>customer15</v>
      </c>
      <c r="B16" t="s">
        <v>431</v>
      </c>
      <c r="C16" t="s">
        <v>437</v>
      </c>
      <c r="D16" s="9">
        <v>44641</v>
      </c>
      <c r="E16" t="s">
        <v>425</v>
      </c>
      <c r="F16" t="s">
        <v>951</v>
      </c>
    </row>
    <row r="17" spans="1:6" x14ac:dyDescent="0.25">
      <c r="A17" t="str">
        <f t="shared" si="0"/>
        <v>customer16</v>
      </c>
      <c r="B17" t="s">
        <v>419</v>
      </c>
      <c r="C17" t="s">
        <v>428</v>
      </c>
      <c r="D17" s="9">
        <v>43834</v>
      </c>
      <c r="E17" t="s">
        <v>421</v>
      </c>
      <c r="F17" t="s">
        <v>948</v>
      </c>
    </row>
    <row r="18" spans="1:6" x14ac:dyDescent="0.25">
      <c r="A18" t="str">
        <f t="shared" si="0"/>
        <v>customer17</v>
      </c>
      <c r="B18" t="s">
        <v>431</v>
      </c>
      <c r="C18" t="s">
        <v>428</v>
      </c>
      <c r="D18" s="9">
        <v>44722</v>
      </c>
      <c r="E18" t="s">
        <v>446</v>
      </c>
      <c r="F18" t="s">
        <v>948</v>
      </c>
    </row>
    <row r="19" spans="1:6" x14ac:dyDescent="0.25">
      <c r="A19" t="str">
        <f t="shared" si="0"/>
        <v>customer18</v>
      </c>
      <c r="B19" t="s">
        <v>419</v>
      </c>
      <c r="C19" t="s">
        <v>420</v>
      </c>
      <c r="D19" s="9">
        <v>45461</v>
      </c>
      <c r="E19" t="s">
        <v>425</v>
      </c>
      <c r="F19" t="s">
        <v>954</v>
      </c>
    </row>
    <row r="20" spans="1:6" x14ac:dyDescent="0.25">
      <c r="A20" t="str">
        <f t="shared" si="0"/>
        <v>customer19</v>
      </c>
      <c r="B20" t="s">
        <v>427</v>
      </c>
      <c r="C20" t="s">
        <v>435</v>
      </c>
      <c r="D20" s="9">
        <v>44610</v>
      </c>
      <c r="E20" t="s">
        <v>425</v>
      </c>
      <c r="F20" t="s">
        <v>952</v>
      </c>
    </row>
    <row r="21" spans="1:6" x14ac:dyDescent="0.25">
      <c r="A21" t="str">
        <f t="shared" si="0"/>
        <v>customer20</v>
      </c>
      <c r="B21" t="s">
        <v>431</v>
      </c>
      <c r="C21" t="s">
        <v>420</v>
      </c>
      <c r="D21" s="9">
        <v>44984</v>
      </c>
      <c r="E21" t="s">
        <v>421</v>
      </c>
      <c r="F21" t="s">
        <v>946</v>
      </c>
    </row>
    <row r="22" spans="1:6" x14ac:dyDescent="0.25">
      <c r="A22" t="str">
        <f t="shared" si="0"/>
        <v>customer21</v>
      </c>
      <c r="B22" t="s">
        <v>431</v>
      </c>
      <c r="C22" t="s">
        <v>437</v>
      </c>
      <c r="D22" s="9">
        <v>45410</v>
      </c>
      <c r="E22" t="s">
        <v>425</v>
      </c>
      <c r="F22" t="s">
        <v>951</v>
      </c>
    </row>
    <row r="23" spans="1:6" x14ac:dyDescent="0.25">
      <c r="A23" t="str">
        <f t="shared" si="0"/>
        <v>customer22</v>
      </c>
      <c r="B23" t="s">
        <v>419</v>
      </c>
      <c r="C23" t="s">
        <v>435</v>
      </c>
      <c r="D23" s="9">
        <v>44073</v>
      </c>
      <c r="E23" t="s">
        <v>421</v>
      </c>
      <c r="F23" t="s">
        <v>952</v>
      </c>
    </row>
    <row r="24" spans="1:6" x14ac:dyDescent="0.25">
      <c r="A24" t="str">
        <f t="shared" si="0"/>
        <v>customer23</v>
      </c>
      <c r="B24" t="s">
        <v>431</v>
      </c>
      <c r="C24" t="s">
        <v>423</v>
      </c>
      <c r="D24" s="9">
        <v>44315</v>
      </c>
      <c r="E24" t="s">
        <v>433</v>
      </c>
      <c r="F24" t="s">
        <v>949</v>
      </c>
    </row>
    <row r="25" spans="1:6" x14ac:dyDescent="0.25">
      <c r="A25" t="str">
        <f t="shared" si="0"/>
        <v>customer24</v>
      </c>
      <c r="B25" t="s">
        <v>419</v>
      </c>
      <c r="C25" t="s">
        <v>428</v>
      </c>
      <c r="D25" s="9">
        <v>45387</v>
      </c>
      <c r="E25" t="s">
        <v>425</v>
      </c>
      <c r="F25" t="s">
        <v>953</v>
      </c>
    </row>
    <row r="26" spans="1:6" x14ac:dyDescent="0.25">
      <c r="A26" t="str">
        <f t="shared" si="0"/>
        <v>customer25</v>
      </c>
      <c r="B26" t="s">
        <v>427</v>
      </c>
      <c r="C26" t="s">
        <v>420</v>
      </c>
      <c r="D26" s="9">
        <v>45595</v>
      </c>
      <c r="E26" t="s">
        <v>433</v>
      </c>
      <c r="F26" t="s">
        <v>946</v>
      </c>
    </row>
    <row r="27" spans="1:6" x14ac:dyDescent="0.25">
      <c r="A27" t="str">
        <f t="shared" si="0"/>
        <v>customer26</v>
      </c>
      <c r="B27" t="s">
        <v>431</v>
      </c>
      <c r="C27" t="s">
        <v>423</v>
      </c>
      <c r="D27" s="9">
        <v>43927</v>
      </c>
      <c r="E27" t="s">
        <v>421</v>
      </c>
      <c r="F27" t="s">
        <v>949</v>
      </c>
    </row>
    <row r="28" spans="1:6" x14ac:dyDescent="0.25">
      <c r="A28" t="str">
        <f t="shared" si="0"/>
        <v>customer27</v>
      </c>
      <c r="B28" t="s">
        <v>419</v>
      </c>
      <c r="C28" t="s">
        <v>435</v>
      </c>
      <c r="D28" s="9">
        <v>44572</v>
      </c>
      <c r="E28" t="s">
        <v>421</v>
      </c>
      <c r="F28" t="s">
        <v>952</v>
      </c>
    </row>
    <row r="29" spans="1:6" x14ac:dyDescent="0.25">
      <c r="A29" t="str">
        <f t="shared" si="0"/>
        <v>customer28</v>
      </c>
      <c r="B29" t="s">
        <v>427</v>
      </c>
      <c r="C29" t="s">
        <v>428</v>
      </c>
      <c r="D29" s="9">
        <v>44447</v>
      </c>
      <c r="E29" t="s">
        <v>433</v>
      </c>
      <c r="F29" t="s">
        <v>948</v>
      </c>
    </row>
    <row r="30" spans="1:6" x14ac:dyDescent="0.25">
      <c r="A30" t="str">
        <f t="shared" si="0"/>
        <v>customer29</v>
      </c>
      <c r="B30" t="s">
        <v>427</v>
      </c>
      <c r="C30" t="s">
        <v>423</v>
      </c>
      <c r="D30" s="9">
        <v>43910</v>
      </c>
      <c r="E30" t="s">
        <v>425</v>
      </c>
      <c r="F30" t="s">
        <v>949</v>
      </c>
    </row>
    <row r="31" spans="1:6" x14ac:dyDescent="0.25">
      <c r="A31" t="str">
        <f t="shared" si="0"/>
        <v>customer30</v>
      </c>
      <c r="B31" t="s">
        <v>419</v>
      </c>
      <c r="C31" t="s">
        <v>435</v>
      </c>
      <c r="D31" s="9">
        <v>44519</v>
      </c>
      <c r="E31" t="s">
        <v>421</v>
      </c>
      <c r="F31" t="s">
        <v>952</v>
      </c>
    </row>
    <row r="32" spans="1:6" x14ac:dyDescent="0.25">
      <c r="A32" t="str">
        <f t="shared" si="0"/>
        <v>customer31</v>
      </c>
      <c r="B32" t="s">
        <v>419</v>
      </c>
      <c r="C32" t="s">
        <v>435</v>
      </c>
      <c r="D32" s="9">
        <v>45453</v>
      </c>
      <c r="E32" t="s">
        <v>421</v>
      </c>
      <c r="F32" t="s">
        <v>952</v>
      </c>
    </row>
    <row r="33" spans="1:6" x14ac:dyDescent="0.25">
      <c r="A33" t="str">
        <f t="shared" si="0"/>
        <v>customer32</v>
      </c>
      <c r="B33" t="s">
        <v>431</v>
      </c>
      <c r="C33" t="s">
        <v>428</v>
      </c>
      <c r="D33" s="9">
        <v>45502</v>
      </c>
      <c r="E33" t="s">
        <v>421</v>
      </c>
      <c r="F33" t="s">
        <v>953</v>
      </c>
    </row>
    <row r="34" spans="1:6" x14ac:dyDescent="0.25">
      <c r="A34" t="str">
        <f t="shared" si="0"/>
        <v>customer33</v>
      </c>
      <c r="B34" t="s">
        <v>427</v>
      </c>
      <c r="C34" t="s">
        <v>428</v>
      </c>
      <c r="D34" s="9">
        <v>45413</v>
      </c>
      <c r="E34" t="s">
        <v>433</v>
      </c>
      <c r="F34" t="s">
        <v>953</v>
      </c>
    </row>
    <row r="35" spans="1:6" x14ac:dyDescent="0.25">
      <c r="A35" t="str">
        <f t="shared" si="0"/>
        <v>customer34</v>
      </c>
      <c r="B35" t="s">
        <v>427</v>
      </c>
      <c r="C35" t="s">
        <v>435</v>
      </c>
      <c r="D35" s="9">
        <v>44853</v>
      </c>
      <c r="E35" t="s">
        <v>425</v>
      </c>
      <c r="F35" t="s">
        <v>952</v>
      </c>
    </row>
    <row r="36" spans="1:6" x14ac:dyDescent="0.25">
      <c r="A36" t="str">
        <f t="shared" si="0"/>
        <v>customer35</v>
      </c>
      <c r="B36" t="s">
        <v>427</v>
      </c>
      <c r="C36" t="s">
        <v>437</v>
      </c>
      <c r="D36" s="9">
        <v>44522</v>
      </c>
      <c r="E36" t="s">
        <v>421</v>
      </c>
      <c r="F36" t="s">
        <v>951</v>
      </c>
    </row>
    <row r="37" spans="1:6" x14ac:dyDescent="0.25">
      <c r="A37" t="str">
        <f t="shared" si="0"/>
        <v>customer36</v>
      </c>
      <c r="B37" t="s">
        <v>431</v>
      </c>
      <c r="C37" t="s">
        <v>435</v>
      </c>
      <c r="D37" s="9">
        <v>45099</v>
      </c>
      <c r="E37" t="s">
        <v>421</v>
      </c>
      <c r="F37" t="s">
        <v>952</v>
      </c>
    </row>
    <row r="38" spans="1:6" x14ac:dyDescent="0.25">
      <c r="A38" t="str">
        <f t="shared" si="0"/>
        <v>customer37</v>
      </c>
      <c r="B38" t="s">
        <v>419</v>
      </c>
      <c r="C38" t="s">
        <v>435</v>
      </c>
      <c r="D38" s="9">
        <v>44093</v>
      </c>
      <c r="E38" t="s">
        <v>433</v>
      </c>
      <c r="F38" t="s">
        <v>950</v>
      </c>
    </row>
    <row r="39" spans="1:6" x14ac:dyDescent="0.25">
      <c r="A39" t="str">
        <f t="shared" si="0"/>
        <v>customer38</v>
      </c>
      <c r="B39" t="s">
        <v>427</v>
      </c>
      <c r="C39" t="s">
        <v>435</v>
      </c>
      <c r="D39" s="9">
        <v>45479</v>
      </c>
      <c r="E39" t="s">
        <v>425</v>
      </c>
      <c r="F39" t="s">
        <v>950</v>
      </c>
    </row>
    <row r="40" spans="1:6" x14ac:dyDescent="0.25">
      <c r="A40" t="str">
        <f t="shared" si="0"/>
        <v>customer39</v>
      </c>
      <c r="B40" t="s">
        <v>431</v>
      </c>
      <c r="C40" t="s">
        <v>423</v>
      </c>
      <c r="D40" s="9">
        <v>45236</v>
      </c>
      <c r="E40" t="s">
        <v>425</v>
      </c>
      <c r="F40" t="s">
        <v>949</v>
      </c>
    </row>
    <row r="41" spans="1:6" x14ac:dyDescent="0.25">
      <c r="A41" t="str">
        <f t="shared" si="0"/>
        <v>customer40</v>
      </c>
      <c r="B41" t="s">
        <v>419</v>
      </c>
      <c r="C41" t="s">
        <v>423</v>
      </c>
      <c r="D41" s="9">
        <v>44256</v>
      </c>
      <c r="E41" t="s">
        <v>425</v>
      </c>
      <c r="F41" t="s">
        <v>947</v>
      </c>
    </row>
    <row r="42" spans="1:6" x14ac:dyDescent="0.25">
      <c r="A42" t="str">
        <f t="shared" si="0"/>
        <v>customer41</v>
      </c>
      <c r="B42" t="s">
        <v>419</v>
      </c>
      <c r="C42" t="s">
        <v>420</v>
      </c>
      <c r="D42" s="9">
        <v>45230</v>
      </c>
      <c r="E42" t="s">
        <v>421</v>
      </c>
      <c r="F42" t="s">
        <v>946</v>
      </c>
    </row>
    <row r="43" spans="1:6" x14ac:dyDescent="0.25">
      <c r="A43" t="str">
        <f t="shared" si="0"/>
        <v>customer42</v>
      </c>
      <c r="B43" t="s">
        <v>419</v>
      </c>
      <c r="C43" t="s">
        <v>435</v>
      </c>
      <c r="D43" s="9">
        <v>44029</v>
      </c>
      <c r="E43" t="s">
        <v>425</v>
      </c>
      <c r="F43" t="s">
        <v>950</v>
      </c>
    </row>
    <row r="44" spans="1:6" x14ac:dyDescent="0.25">
      <c r="A44" t="str">
        <f t="shared" si="0"/>
        <v>customer43</v>
      </c>
      <c r="B44" t="s">
        <v>427</v>
      </c>
      <c r="C44" t="s">
        <v>428</v>
      </c>
      <c r="D44" s="9">
        <v>43985</v>
      </c>
      <c r="E44" t="s">
        <v>425</v>
      </c>
      <c r="F44" t="s">
        <v>953</v>
      </c>
    </row>
    <row r="45" spans="1:6" x14ac:dyDescent="0.25">
      <c r="A45" t="str">
        <f t="shared" si="0"/>
        <v>customer44</v>
      </c>
      <c r="B45" t="s">
        <v>419</v>
      </c>
      <c r="C45" t="s">
        <v>420</v>
      </c>
      <c r="D45" s="9">
        <v>45166</v>
      </c>
      <c r="E45" t="s">
        <v>446</v>
      </c>
      <c r="F45" t="s">
        <v>954</v>
      </c>
    </row>
    <row r="46" spans="1:6" x14ac:dyDescent="0.25">
      <c r="A46" t="str">
        <f t="shared" si="0"/>
        <v>customer45</v>
      </c>
      <c r="B46" t="s">
        <v>427</v>
      </c>
      <c r="C46" t="s">
        <v>437</v>
      </c>
      <c r="D46" s="9">
        <v>44930</v>
      </c>
      <c r="E46" t="s">
        <v>425</v>
      </c>
      <c r="F46" t="s">
        <v>955</v>
      </c>
    </row>
    <row r="47" spans="1:6" x14ac:dyDescent="0.25">
      <c r="A47" t="str">
        <f t="shared" si="0"/>
        <v>customer46</v>
      </c>
      <c r="B47" t="s">
        <v>431</v>
      </c>
      <c r="C47" t="s">
        <v>420</v>
      </c>
      <c r="D47" s="9">
        <v>44374</v>
      </c>
      <c r="E47" t="s">
        <v>421</v>
      </c>
      <c r="F47" t="s">
        <v>954</v>
      </c>
    </row>
    <row r="48" spans="1:6" x14ac:dyDescent="0.25">
      <c r="A48" t="str">
        <f t="shared" si="0"/>
        <v>customer47</v>
      </c>
      <c r="B48" t="s">
        <v>427</v>
      </c>
      <c r="C48" t="s">
        <v>423</v>
      </c>
      <c r="D48" s="9">
        <v>45573</v>
      </c>
      <c r="E48" t="s">
        <v>425</v>
      </c>
      <c r="F48" t="s">
        <v>949</v>
      </c>
    </row>
    <row r="49" spans="1:6" x14ac:dyDescent="0.25">
      <c r="A49" t="str">
        <f t="shared" si="0"/>
        <v>customer48</v>
      </c>
      <c r="B49" t="s">
        <v>431</v>
      </c>
      <c r="C49" t="s">
        <v>428</v>
      </c>
      <c r="D49" s="9">
        <v>44997</v>
      </c>
      <c r="E49" t="s">
        <v>421</v>
      </c>
      <c r="F49" t="s">
        <v>948</v>
      </c>
    </row>
    <row r="50" spans="1:6" x14ac:dyDescent="0.25">
      <c r="A50" t="str">
        <f t="shared" si="0"/>
        <v>customer49</v>
      </c>
      <c r="B50" t="s">
        <v>427</v>
      </c>
      <c r="C50" t="s">
        <v>437</v>
      </c>
      <c r="D50" s="9">
        <v>45199</v>
      </c>
      <c r="E50" t="s">
        <v>425</v>
      </c>
      <c r="F50" t="s">
        <v>955</v>
      </c>
    </row>
    <row r="51" spans="1:6" x14ac:dyDescent="0.25">
      <c r="A51" t="str">
        <f t="shared" si="0"/>
        <v>customer50</v>
      </c>
      <c r="B51" t="s">
        <v>419</v>
      </c>
      <c r="C51" t="s">
        <v>420</v>
      </c>
      <c r="D51" s="9">
        <v>44342</v>
      </c>
      <c r="E51" t="s">
        <v>425</v>
      </c>
      <c r="F51" t="s">
        <v>946</v>
      </c>
    </row>
    <row r="52" spans="1:6" x14ac:dyDescent="0.25">
      <c r="A52" t="str">
        <f t="shared" si="0"/>
        <v>customer51</v>
      </c>
      <c r="B52" t="s">
        <v>427</v>
      </c>
      <c r="C52" t="s">
        <v>423</v>
      </c>
      <c r="D52" s="9">
        <v>44964</v>
      </c>
      <c r="E52" t="s">
        <v>421</v>
      </c>
      <c r="F52" t="s">
        <v>949</v>
      </c>
    </row>
    <row r="53" spans="1:6" x14ac:dyDescent="0.25">
      <c r="A53" t="str">
        <f t="shared" si="0"/>
        <v>customer52</v>
      </c>
      <c r="B53" t="s">
        <v>427</v>
      </c>
      <c r="C53" t="s">
        <v>423</v>
      </c>
      <c r="D53" s="9">
        <v>44953</v>
      </c>
      <c r="E53" t="s">
        <v>421</v>
      </c>
      <c r="F53" t="s">
        <v>947</v>
      </c>
    </row>
    <row r="54" spans="1:6" x14ac:dyDescent="0.25">
      <c r="A54" t="str">
        <f t="shared" si="0"/>
        <v>customer53</v>
      </c>
      <c r="B54" t="s">
        <v>431</v>
      </c>
      <c r="C54" t="s">
        <v>420</v>
      </c>
      <c r="D54" s="9">
        <v>45154</v>
      </c>
      <c r="E54" t="s">
        <v>425</v>
      </c>
      <c r="F54" t="s">
        <v>954</v>
      </c>
    </row>
    <row r="55" spans="1:6" x14ac:dyDescent="0.25">
      <c r="A55" t="str">
        <f t="shared" si="0"/>
        <v>customer54</v>
      </c>
      <c r="B55" t="s">
        <v>427</v>
      </c>
      <c r="C55" t="s">
        <v>437</v>
      </c>
      <c r="D55" s="9">
        <v>44557</v>
      </c>
      <c r="E55" t="s">
        <v>425</v>
      </c>
      <c r="F55" t="s">
        <v>955</v>
      </c>
    </row>
    <row r="56" spans="1:6" x14ac:dyDescent="0.25">
      <c r="A56" t="str">
        <f t="shared" si="0"/>
        <v>customer55</v>
      </c>
      <c r="B56" t="s">
        <v>431</v>
      </c>
      <c r="C56" t="s">
        <v>420</v>
      </c>
      <c r="D56" s="9">
        <v>44972</v>
      </c>
      <c r="E56" t="s">
        <v>425</v>
      </c>
      <c r="F56" t="s">
        <v>954</v>
      </c>
    </row>
    <row r="57" spans="1:6" x14ac:dyDescent="0.25">
      <c r="A57" t="str">
        <f t="shared" si="0"/>
        <v>customer56</v>
      </c>
      <c r="B57" t="s">
        <v>419</v>
      </c>
      <c r="C57" t="s">
        <v>428</v>
      </c>
      <c r="D57" s="9">
        <v>44050</v>
      </c>
      <c r="E57" t="s">
        <v>425</v>
      </c>
      <c r="F57" t="s">
        <v>953</v>
      </c>
    </row>
    <row r="58" spans="1:6" x14ac:dyDescent="0.25">
      <c r="A58" t="str">
        <f t="shared" si="0"/>
        <v>customer57</v>
      </c>
      <c r="B58" t="s">
        <v>431</v>
      </c>
      <c r="C58" t="s">
        <v>420</v>
      </c>
      <c r="D58" s="9">
        <v>44438</v>
      </c>
      <c r="E58" t="s">
        <v>421</v>
      </c>
      <c r="F58" t="s">
        <v>954</v>
      </c>
    </row>
    <row r="59" spans="1:6" x14ac:dyDescent="0.25">
      <c r="A59" t="str">
        <f t="shared" si="0"/>
        <v>customer58</v>
      </c>
      <c r="B59" t="s">
        <v>431</v>
      </c>
      <c r="C59" t="s">
        <v>437</v>
      </c>
      <c r="D59" s="9">
        <v>44043</v>
      </c>
      <c r="E59" t="s">
        <v>425</v>
      </c>
      <c r="F59" t="s">
        <v>955</v>
      </c>
    </row>
    <row r="60" spans="1:6" x14ac:dyDescent="0.25">
      <c r="A60" t="str">
        <f t="shared" si="0"/>
        <v>customer59</v>
      </c>
      <c r="B60" t="s">
        <v>431</v>
      </c>
      <c r="C60" t="s">
        <v>420</v>
      </c>
      <c r="D60" s="9">
        <v>45295</v>
      </c>
      <c r="E60" t="s">
        <v>421</v>
      </c>
      <c r="F60" t="s">
        <v>954</v>
      </c>
    </row>
    <row r="61" spans="1:6" x14ac:dyDescent="0.25">
      <c r="A61" t="str">
        <f t="shared" si="0"/>
        <v>customer60</v>
      </c>
      <c r="B61" t="s">
        <v>427</v>
      </c>
      <c r="C61" t="s">
        <v>420</v>
      </c>
      <c r="D61" s="9">
        <v>44842</v>
      </c>
      <c r="E61" t="s">
        <v>421</v>
      </c>
      <c r="F61" t="s">
        <v>954</v>
      </c>
    </row>
    <row r="62" spans="1:6" x14ac:dyDescent="0.25">
      <c r="A62" t="str">
        <f t="shared" si="0"/>
        <v>customer61</v>
      </c>
      <c r="B62" t="s">
        <v>427</v>
      </c>
      <c r="C62" t="s">
        <v>435</v>
      </c>
      <c r="D62" s="9">
        <v>44617</v>
      </c>
      <c r="E62" t="s">
        <v>425</v>
      </c>
      <c r="F62" t="s">
        <v>952</v>
      </c>
    </row>
    <row r="63" spans="1:6" x14ac:dyDescent="0.25">
      <c r="A63" t="str">
        <f t="shared" si="0"/>
        <v>customer62</v>
      </c>
      <c r="B63" t="s">
        <v>427</v>
      </c>
      <c r="C63" t="s">
        <v>437</v>
      </c>
      <c r="D63" s="9">
        <v>45414</v>
      </c>
      <c r="E63" t="s">
        <v>421</v>
      </c>
      <c r="F63" t="s">
        <v>955</v>
      </c>
    </row>
    <row r="64" spans="1:6" x14ac:dyDescent="0.25">
      <c r="A64" t="str">
        <f t="shared" si="0"/>
        <v>customer63</v>
      </c>
      <c r="B64" t="s">
        <v>431</v>
      </c>
      <c r="C64" t="s">
        <v>423</v>
      </c>
      <c r="D64" s="9">
        <v>45374</v>
      </c>
      <c r="E64" t="s">
        <v>425</v>
      </c>
      <c r="F64" t="s">
        <v>947</v>
      </c>
    </row>
    <row r="65" spans="1:6" x14ac:dyDescent="0.25">
      <c r="A65" t="str">
        <f t="shared" si="0"/>
        <v>customer64</v>
      </c>
      <c r="B65" t="s">
        <v>419</v>
      </c>
      <c r="C65" t="s">
        <v>437</v>
      </c>
      <c r="D65" s="9">
        <v>45018</v>
      </c>
      <c r="E65" t="s">
        <v>425</v>
      </c>
      <c r="F65" t="s">
        <v>955</v>
      </c>
    </row>
    <row r="66" spans="1:6" x14ac:dyDescent="0.25">
      <c r="A66" t="str">
        <f t="shared" ref="A66:A129" si="1">"customer"&amp;ROW(A65)</f>
        <v>customer65</v>
      </c>
      <c r="B66" t="s">
        <v>427</v>
      </c>
      <c r="C66" t="s">
        <v>423</v>
      </c>
      <c r="D66" s="9">
        <v>44929</v>
      </c>
      <c r="E66" t="s">
        <v>425</v>
      </c>
      <c r="F66" t="s">
        <v>947</v>
      </c>
    </row>
    <row r="67" spans="1:6" x14ac:dyDescent="0.25">
      <c r="A67" t="str">
        <f t="shared" si="1"/>
        <v>customer66</v>
      </c>
      <c r="B67" t="s">
        <v>431</v>
      </c>
      <c r="C67" t="s">
        <v>420</v>
      </c>
      <c r="D67" s="9">
        <v>44711</v>
      </c>
      <c r="E67" t="s">
        <v>425</v>
      </c>
      <c r="F67" t="s">
        <v>954</v>
      </c>
    </row>
    <row r="68" spans="1:6" x14ac:dyDescent="0.25">
      <c r="A68" t="str">
        <f t="shared" si="1"/>
        <v>customer67</v>
      </c>
      <c r="B68" t="s">
        <v>427</v>
      </c>
      <c r="C68" t="s">
        <v>423</v>
      </c>
      <c r="D68" s="9">
        <v>45534</v>
      </c>
      <c r="E68" t="s">
        <v>425</v>
      </c>
      <c r="F68" t="s">
        <v>947</v>
      </c>
    </row>
    <row r="69" spans="1:6" x14ac:dyDescent="0.25">
      <c r="A69" t="str">
        <f t="shared" si="1"/>
        <v>customer68</v>
      </c>
      <c r="B69" t="s">
        <v>419</v>
      </c>
      <c r="C69" t="s">
        <v>437</v>
      </c>
      <c r="D69" s="9">
        <v>44728</v>
      </c>
      <c r="E69" t="s">
        <v>421</v>
      </c>
      <c r="F69" t="s">
        <v>951</v>
      </c>
    </row>
    <row r="70" spans="1:6" x14ac:dyDescent="0.25">
      <c r="A70" t="str">
        <f t="shared" si="1"/>
        <v>customer69</v>
      </c>
      <c r="B70" t="s">
        <v>431</v>
      </c>
      <c r="C70" t="s">
        <v>435</v>
      </c>
      <c r="D70" s="9">
        <v>44816</v>
      </c>
      <c r="E70" t="s">
        <v>433</v>
      </c>
      <c r="F70" t="s">
        <v>950</v>
      </c>
    </row>
    <row r="71" spans="1:6" x14ac:dyDescent="0.25">
      <c r="A71" t="str">
        <f t="shared" si="1"/>
        <v>customer70</v>
      </c>
      <c r="B71" t="s">
        <v>419</v>
      </c>
      <c r="C71" t="s">
        <v>437</v>
      </c>
      <c r="D71" s="9">
        <v>44715</v>
      </c>
      <c r="E71" t="s">
        <v>421</v>
      </c>
      <c r="F71" t="s">
        <v>951</v>
      </c>
    </row>
    <row r="72" spans="1:6" x14ac:dyDescent="0.25">
      <c r="A72" t="str">
        <f t="shared" si="1"/>
        <v>customer71</v>
      </c>
      <c r="B72" t="s">
        <v>419</v>
      </c>
      <c r="C72" t="s">
        <v>420</v>
      </c>
      <c r="D72" s="9">
        <v>45425</v>
      </c>
      <c r="E72" t="s">
        <v>421</v>
      </c>
      <c r="F72" t="s">
        <v>954</v>
      </c>
    </row>
    <row r="73" spans="1:6" x14ac:dyDescent="0.25">
      <c r="A73" t="str">
        <f t="shared" si="1"/>
        <v>customer72</v>
      </c>
      <c r="B73" t="s">
        <v>419</v>
      </c>
      <c r="C73" t="s">
        <v>428</v>
      </c>
      <c r="D73" s="9">
        <v>44384</v>
      </c>
      <c r="E73" t="s">
        <v>421</v>
      </c>
      <c r="F73" t="s">
        <v>953</v>
      </c>
    </row>
    <row r="74" spans="1:6" x14ac:dyDescent="0.25">
      <c r="A74" t="str">
        <f t="shared" si="1"/>
        <v>customer73</v>
      </c>
      <c r="B74" t="s">
        <v>431</v>
      </c>
      <c r="C74" t="s">
        <v>420</v>
      </c>
      <c r="D74" s="9">
        <v>44889</v>
      </c>
      <c r="E74" t="s">
        <v>425</v>
      </c>
      <c r="F74" t="s">
        <v>954</v>
      </c>
    </row>
    <row r="75" spans="1:6" x14ac:dyDescent="0.25">
      <c r="A75" t="str">
        <f t="shared" si="1"/>
        <v>customer74</v>
      </c>
      <c r="B75" t="s">
        <v>419</v>
      </c>
      <c r="C75" t="s">
        <v>420</v>
      </c>
      <c r="D75" s="9">
        <v>43854</v>
      </c>
      <c r="E75" t="s">
        <v>421</v>
      </c>
      <c r="F75" t="s">
        <v>954</v>
      </c>
    </row>
    <row r="76" spans="1:6" x14ac:dyDescent="0.25">
      <c r="A76" t="str">
        <f t="shared" si="1"/>
        <v>customer75</v>
      </c>
      <c r="B76" t="s">
        <v>427</v>
      </c>
      <c r="C76" t="s">
        <v>428</v>
      </c>
      <c r="D76" s="9">
        <v>44663</v>
      </c>
      <c r="E76" t="s">
        <v>421</v>
      </c>
      <c r="F76" t="s">
        <v>953</v>
      </c>
    </row>
    <row r="77" spans="1:6" x14ac:dyDescent="0.25">
      <c r="A77" t="str">
        <f t="shared" si="1"/>
        <v>customer76</v>
      </c>
      <c r="B77" t="s">
        <v>431</v>
      </c>
      <c r="C77" t="s">
        <v>420</v>
      </c>
      <c r="D77" s="9">
        <v>44345</v>
      </c>
      <c r="E77" t="s">
        <v>421</v>
      </c>
      <c r="F77" t="s">
        <v>954</v>
      </c>
    </row>
    <row r="78" spans="1:6" x14ac:dyDescent="0.25">
      <c r="A78" t="str">
        <f t="shared" si="1"/>
        <v>customer77</v>
      </c>
      <c r="B78" t="s">
        <v>419</v>
      </c>
      <c r="C78" t="s">
        <v>423</v>
      </c>
      <c r="D78" s="9">
        <v>45120</v>
      </c>
      <c r="E78" t="s">
        <v>421</v>
      </c>
      <c r="F78" t="s">
        <v>949</v>
      </c>
    </row>
    <row r="79" spans="1:6" x14ac:dyDescent="0.25">
      <c r="A79" t="str">
        <f t="shared" si="1"/>
        <v>customer78</v>
      </c>
      <c r="B79" t="s">
        <v>419</v>
      </c>
      <c r="C79" t="s">
        <v>420</v>
      </c>
      <c r="D79" s="9">
        <v>45027</v>
      </c>
      <c r="E79" t="s">
        <v>433</v>
      </c>
      <c r="F79" t="s">
        <v>954</v>
      </c>
    </row>
    <row r="80" spans="1:6" x14ac:dyDescent="0.25">
      <c r="A80" t="str">
        <f t="shared" si="1"/>
        <v>customer79</v>
      </c>
      <c r="B80" t="s">
        <v>427</v>
      </c>
      <c r="C80" t="s">
        <v>437</v>
      </c>
      <c r="D80" s="9">
        <v>45196</v>
      </c>
      <c r="E80" t="s">
        <v>425</v>
      </c>
      <c r="F80" t="s">
        <v>951</v>
      </c>
    </row>
    <row r="81" spans="1:6" x14ac:dyDescent="0.25">
      <c r="A81" t="str">
        <f t="shared" si="1"/>
        <v>customer80</v>
      </c>
      <c r="B81" t="s">
        <v>419</v>
      </c>
      <c r="C81" t="s">
        <v>435</v>
      </c>
      <c r="D81" s="9">
        <v>45242</v>
      </c>
      <c r="E81" t="s">
        <v>425</v>
      </c>
      <c r="F81" t="s">
        <v>950</v>
      </c>
    </row>
    <row r="82" spans="1:6" x14ac:dyDescent="0.25">
      <c r="A82" t="str">
        <f t="shared" si="1"/>
        <v>customer81</v>
      </c>
      <c r="B82" t="s">
        <v>419</v>
      </c>
      <c r="C82" t="s">
        <v>423</v>
      </c>
      <c r="D82" s="9">
        <v>44736</v>
      </c>
      <c r="E82" t="s">
        <v>421</v>
      </c>
      <c r="F82" t="s">
        <v>947</v>
      </c>
    </row>
    <row r="83" spans="1:6" x14ac:dyDescent="0.25">
      <c r="A83" t="str">
        <f t="shared" si="1"/>
        <v>customer82</v>
      </c>
      <c r="B83" t="s">
        <v>427</v>
      </c>
      <c r="C83" t="s">
        <v>420</v>
      </c>
      <c r="D83" s="9">
        <v>44651</v>
      </c>
      <c r="E83" t="s">
        <v>421</v>
      </c>
      <c r="F83" t="s">
        <v>946</v>
      </c>
    </row>
    <row r="84" spans="1:6" x14ac:dyDescent="0.25">
      <c r="A84" t="str">
        <f t="shared" si="1"/>
        <v>customer83</v>
      </c>
      <c r="B84" t="s">
        <v>419</v>
      </c>
      <c r="C84" t="s">
        <v>423</v>
      </c>
      <c r="D84" s="9">
        <v>44181</v>
      </c>
      <c r="E84" t="s">
        <v>425</v>
      </c>
      <c r="F84" t="s">
        <v>947</v>
      </c>
    </row>
    <row r="85" spans="1:6" x14ac:dyDescent="0.25">
      <c r="A85" t="str">
        <f t="shared" si="1"/>
        <v>customer84</v>
      </c>
      <c r="B85" t="s">
        <v>419</v>
      </c>
      <c r="C85" t="s">
        <v>423</v>
      </c>
      <c r="D85" s="9">
        <v>44408</v>
      </c>
      <c r="E85" t="s">
        <v>421</v>
      </c>
      <c r="F85" t="s">
        <v>947</v>
      </c>
    </row>
    <row r="86" spans="1:6" x14ac:dyDescent="0.25">
      <c r="A86" t="str">
        <f t="shared" si="1"/>
        <v>customer85</v>
      </c>
      <c r="B86" t="s">
        <v>427</v>
      </c>
      <c r="C86" t="s">
        <v>420</v>
      </c>
      <c r="D86" s="9">
        <v>45372</v>
      </c>
      <c r="E86" t="s">
        <v>433</v>
      </c>
      <c r="F86" t="s">
        <v>946</v>
      </c>
    </row>
    <row r="87" spans="1:6" x14ac:dyDescent="0.25">
      <c r="A87" t="str">
        <f t="shared" si="1"/>
        <v>customer86</v>
      </c>
      <c r="B87" t="s">
        <v>431</v>
      </c>
      <c r="C87" t="s">
        <v>420</v>
      </c>
      <c r="D87" s="9">
        <v>44831</v>
      </c>
      <c r="E87" t="s">
        <v>433</v>
      </c>
      <c r="F87" t="s">
        <v>946</v>
      </c>
    </row>
    <row r="88" spans="1:6" x14ac:dyDescent="0.25">
      <c r="A88" t="str">
        <f t="shared" si="1"/>
        <v>customer87</v>
      </c>
      <c r="B88" t="s">
        <v>431</v>
      </c>
      <c r="C88" t="s">
        <v>428</v>
      </c>
      <c r="D88" s="9">
        <v>44697</v>
      </c>
      <c r="E88" t="s">
        <v>421</v>
      </c>
      <c r="F88" t="s">
        <v>953</v>
      </c>
    </row>
    <row r="89" spans="1:6" x14ac:dyDescent="0.25">
      <c r="A89" t="str">
        <f t="shared" si="1"/>
        <v>customer88</v>
      </c>
      <c r="B89" t="s">
        <v>427</v>
      </c>
      <c r="C89" t="s">
        <v>423</v>
      </c>
      <c r="D89" s="9">
        <v>45192</v>
      </c>
      <c r="E89" t="s">
        <v>421</v>
      </c>
      <c r="F89" t="s">
        <v>949</v>
      </c>
    </row>
    <row r="90" spans="1:6" x14ac:dyDescent="0.25">
      <c r="A90" t="str">
        <f t="shared" si="1"/>
        <v>customer89</v>
      </c>
      <c r="B90" t="s">
        <v>431</v>
      </c>
      <c r="C90" t="s">
        <v>420</v>
      </c>
      <c r="D90" s="9">
        <v>45370</v>
      </c>
      <c r="E90" t="s">
        <v>425</v>
      </c>
      <c r="F90" t="s">
        <v>946</v>
      </c>
    </row>
    <row r="91" spans="1:6" x14ac:dyDescent="0.25">
      <c r="A91" t="str">
        <f t="shared" si="1"/>
        <v>customer90</v>
      </c>
      <c r="B91" t="s">
        <v>419</v>
      </c>
      <c r="C91" t="s">
        <v>423</v>
      </c>
      <c r="D91" s="9">
        <v>45532</v>
      </c>
      <c r="E91" t="s">
        <v>425</v>
      </c>
      <c r="F91" t="s">
        <v>949</v>
      </c>
    </row>
    <row r="92" spans="1:6" x14ac:dyDescent="0.25">
      <c r="A92" t="str">
        <f t="shared" si="1"/>
        <v>customer91</v>
      </c>
      <c r="B92" t="s">
        <v>431</v>
      </c>
      <c r="C92" t="s">
        <v>428</v>
      </c>
      <c r="D92" s="9">
        <v>44239</v>
      </c>
      <c r="E92" t="s">
        <v>425</v>
      </c>
      <c r="F92" t="s">
        <v>948</v>
      </c>
    </row>
    <row r="93" spans="1:6" x14ac:dyDescent="0.25">
      <c r="A93" t="str">
        <f t="shared" si="1"/>
        <v>customer92</v>
      </c>
      <c r="B93" t="s">
        <v>431</v>
      </c>
      <c r="C93" t="s">
        <v>437</v>
      </c>
      <c r="D93" s="9">
        <v>43866</v>
      </c>
      <c r="E93" t="s">
        <v>425</v>
      </c>
      <c r="F93" t="s">
        <v>955</v>
      </c>
    </row>
    <row r="94" spans="1:6" x14ac:dyDescent="0.25">
      <c r="A94" t="str">
        <f t="shared" si="1"/>
        <v>customer93</v>
      </c>
      <c r="B94" t="s">
        <v>431</v>
      </c>
      <c r="C94" t="s">
        <v>437</v>
      </c>
      <c r="D94" s="9">
        <v>45461</v>
      </c>
      <c r="E94" t="s">
        <v>425</v>
      </c>
      <c r="F94" t="s">
        <v>951</v>
      </c>
    </row>
    <row r="95" spans="1:6" x14ac:dyDescent="0.25">
      <c r="A95" t="str">
        <f t="shared" si="1"/>
        <v>customer94</v>
      </c>
      <c r="B95" t="s">
        <v>419</v>
      </c>
      <c r="C95" t="s">
        <v>423</v>
      </c>
      <c r="D95" s="9">
        <v>45456</v>
      </c>
      <c r="E95" t="s">
        <v>421</v>
      </c>
      <c r="F95" t="s">
        <v>947</v>
      </c>
    </row>
    <row r="96" spans="1:6" x14ac:dyDescent="0.25">
      <c r="A96" t="str">
        <f t="shared" si="1"/>
        <v>customer95</v>
      </c>
      <c r="B96" t="s">
        <v>431</v>
      </c>
      <c r="C96" t="s">
        <v>420</v>
      </c>
      <c r="D96" s="9">
        <v>45575</v>
      </c>
      <c r="E96" t="s">
        <v>425</v>
      </c>
      <c r="F96" t="s">
        <v>946</v>
      </c>
    </row>
    <row r="97" spans="1:6" x14ac:dyDescent="0.25">
      <c r="A97" t="str">
        <f t="shared" si="1"/>
        <v>customer96</v>
      </c>
      <c r="B97" t="s">
        <v>419</v>
      </c>
      <c r="C97" t="s">
        <v>423</v>
      </c>
      <c r="D97" s="9">
        <v>44436</v>
      </c>
      <c r="E97" t="s">
        <v>425</v>
      </c>
      <c r="F97" t="s">
        <v>947</v>
      </c>
    </row>
    <row r="98" spans="1:6" x14ac:dyDescent="0.25">
      <c r="A98" t="str">
        <f t="shared" si="1"/>
        <v>customer97</v>
      </c>
      <c r="B98" t="s">
        <v>431</v>
      </c>
      <c r="C98" t="s">
        <v>423</v>
      </c>
      <c r="D98" s="9">
        <v>44525</v>
      </c>
      <c r="E98" t="s">
        <v>425</v>
      </c>
      <c r="F98" t="s">
        <v>947</v>
      </c>
    </row>
    <row r="99" spans="1:6" x14ac:dyDescent="0.25">
      <c r="A99" t="str">
        <f t="shared" si="1"/>
        <v>customer98</v>
      </c>
      <c r="B99" t="s">
        <v>431</v>
      </c>
      <c r="C99" t="s">
        <v>420</v>
      </c>
      <c r="D99" s="9">
        <v>44297</v>
      </c>
      <c r="E99" t="s">
        <v>421</v>
      </c>
      <c r="F99" t="s">
        <v>954</v>
      </c>
    </row>
    <row r="100" spans="1:6" x14ac:dyDescent="0.25">
      <c r="A100" t="str">
        <f t="shared" si="1"/>
        <v>customer99</v>
      </c>
      <c r="B100" t="s">
        <v>427</v>
      </c>
      <c r="C100" t="s">
        <v>420</v>
      </c>
      <c r="D100" s="9">
        <v>43962</v>
      </c>
      <c r="E100" t="s">
        <v>421</v>
      </c>
      <c r="F100" t="s">
        <v>954</v>
      </c>
    </row>
    <row r="101" spans="1:6" x14ac:dyDescent="0.25">
      <c r="A101" t="str">
        <f t="shared" si="1"/>
        <v>customer100</v>
      </c>
      <c r="B101" t="s">
        <v>431</v>
      </c>
      <c r="C101" t="s">
        <v>420</v>
      </c>
      <c r="D101" s="9">
        <v>45165</v>
      </c>
      <c r="E101" t="s">
        <v>433</v>
      </c>
      <c r="F101" t="s">
        <v>954</v>
      </c>
    </row>
    <row r="102" spans="1:6" x14ac:dyDescent="0.25">
      <c r="A102" t="str">
        <f t="shared" si="1"/>
        <v>customer101</v>
      </c>
      <c r="B102" t="s">
        <v>431</v>
      </c>
      <c r="C102" t="s">
        <v>435</v>
      </c>
      <c r="D102" s="9">
        <v>44730</v>
      </c>
      <c r="E102" t="s">
        <v>421</v>
      </c>
      <c r="F102" t="s">
        <v>952</v>
      </c>
    </row>
    <row r="103" spans="1:6" x14ac:dyDescent="0.25">
      <c r="A103" t="str">
        <f t="shared" si="1"/>
        <v>customer102</v>
      </c>
      <c r="B103" t="s">
        <v>427</v>
      </c>
      <c r="C103" t="s">
        <v>423</v>
      </c>
      <c r="D103" s="9">
        <v>44648</v>
      </c>
      <c r="E103" t="s">
        <v>446</v>
      </c>
      <c r="F103" t="s">
        <v>949</v>
      </c>
    </row>
    <row r="104" spans="1:6" x14ac:dyDescent="0.25">
      <c r="A104" t="str">
        <f t="shared" si="1"/>
        <v>customer103</v>
      </c>
      <c r="B104" t="s">
        <v>419</v>
      </c>
      <c r="C104" t="s">
        <v>423</v>
      </c>
      <c r="D104" s="9">
        <v>44302</v>
      </c>
      <c r="E104" t="s">
        <v>425</v>
      </c>
      <c r="F104" t="s">
        <v>947</v>
      </c>
    </row>
    <row r="105" spans="1:6" x14ac:dyDescent="0.25">
      <c r="A105" t="str">
        <f t="shared" si="1"/>
        <v>customer104</v>
      </c>
      <c r="B105" t="s">
        <v>427</v>
      </c>
      <c r="C105" t="s">
        <v>428</v>
      </c>
      <c r="D105" s="9">
        <v>45472</v>
      </c>
      <c r="E105" t="s">
        <v>446</v>
      </c>
      <c r="F105" t="s">
        <v>948</v>
      </c>
    </row>
    <row r="106" spans="1:6" x14ac:dyDescent="0.25">
      <c r="A106" t="str">
        <f t="shared" si="1"/>
        <v>customer105</v>
      </c>
      <c r="B106" t="s">
        <v>419</v>
      </c>
      <c r="C106" t="s">
        <v>437</v>
      </c>
      <c r="D106" s="9">
        <v>45309</v>
      </c>
      <c r="E106" t="s">
        <v>446</v>
      </c>
      <c r="F106" t="s">
        <v>951</v>
      </c>
    </row>
    <row r="107" spans="1:6" x14ac:dyDescent="0.25">
      <c r="A107" t="str">
        <f t="shared" si="1"/>
        <v>customer106</v>
      </c>
      <c r="B107" t="s">
        <v>427</v>
      </c>
      <c r="C107" t="s">
        <v>428</v>
      </c>
      <c r="D107" s="9">
        <v>45542</v>
      </c>
      <c r="E107" t="s">
        <v>421</v>
      </c>
      <c r="F107" t="s">
        <v>953</v>
      </c>
    </row>
    <row r="108" spans="1:6" x14ac:dyDescent="0.25">
      <c r="A108" t="str">
        <f t="shared" si="1"/>
        <v>customer107</v>
      </c>
      <c r="B108" t="s">
        <v>427</v>
      </c>
      <c r="C108" t="s">
        <v>420</v>
      </c>
      <c r="D108" s="9">
        <v>44236</v>
      </c>
      <c r="E108" t="s">
        <v>421</v>
      </c>
      <c r="F108" t="s">
        <v>954</v>
      </c>
    </row>
    <row r="109" spans="1:6" x14ac:dyDescent="0.25">
      <c r="A109" t="str">
        <f t="shared" si="1"/>
        <v>customer108</v>
      </c>
      <c r="B109" t="s">
        <v>427</v>
      </c>
      <c r="C109" t="s">
        <v>437</v>
      </c>
      <c r="D109" s="9">
        <v>44374</v>
      </c>
      <c r="E109" t="s">
        <v>425</v>
      </c>
      <c r="F109" t="s">
        <v>951</v>
      </c>
    </row>
    <row r="110" spans="1:6" x14ac:dyDescent="0.25">
      <c r="A110" t="str">
        <f t="shared" si="1"/>
        <v>customer109</v>
      </c>
      <c r="B110" t="s">
        <v>419</v>
      </c>
      <c r="C110" t="s">
        <v>428</v>
      </c>
      <c r="D110" s="9">
        <v>44412</v>
      </c>
      <c r="E110" t="s">
        <v>425</v>
      </c>
      <c r="F110" t="s">
        <v>953</v>
      </c>
    </row>
    <row r="111" spans="1:6" x14ac:dyDescent="0.25">
      <c r="A111" t="str">
        <f t="shared" si="1"/>
        <v>customer110</v>
      </c>
      <c r="B111" t="s">
        <v>427</v>
      </c>
      <c r="C111" t="s">
        <v>437</v>
      </c>
      <c r="D111" s="9">
        <v>44277</v>
      </c>
      <c r="E111" t="s">
        <v>421</v>
      </c>
      <c r="F111" t="s">
        <v>955</v>
      </c>
    </row>
    <row r="112" spans="1:6" x14ac:dyDescent="0.25">
      <c r="A112" t="str">
        <f t="shared" si="1"/>
        <v>customer111</v>
      </c>
      <c r="B112" t="s">
        <v>427</v>
      </c>
      <c r="C112" t="s">
        <v>420</v>
      </c>
      <c r="D112" s="9">
        <v>43895</v>
      </c>
      <c r="E112" t="s">
        <v>421</v>
      </c>
      <c r="F112" t="s">
        <v>954</v>
      </c>
    </row>
    <row r="113" spans="1:6" x14ac:dyDescent="0.25">
      <c r="A113" t="str">
        <f t="shared" si="1"/>
        <v>customer112</v>
      </c>
      <c r="B113" t="s">
        <v>431</v>
      </c>
      <c r="C113" t="s">
        <v>423</v>
      </c>
      <c r="D113" s="9">
        <v>43977</v>
      </c>
      <c r="E113" t="s">
        <v>421</v>
      </c>
      <c r="F113" t="s">
        <v>949</v>
      </c>
    </row>
    <row r="114" spans="1:6" x14ac:dyDescent="0.25">
      <c r="A114" t="str">
        <f t="shared" si="1"/>
        <v>customer113</v>
      </c>
      <c r="B114" t="s">
        <v>427</v>
      </c>
      <c r="C114" t="s">
        <v>428</v>
      </c>
      <c r="D114" s="9">
        <v>45111</v>
      </c>
      <c r="E114" t="s">
        <v>421</v>
      </c>
      <c r="F114" t="s">
        <v>953</v>
      </c>
    </row>
    <row r="115" spans="1:6" x14ac:dyDescent="0.25">
      <c r="A115" t="str">
        <f t="shared" si="1"/>
        <v>customer114</v>
      </c>
      <c r="B115" t="s">
        <v>431</v>
      </c>
      <c r="C115" t="s">
        <v>423</v>
      </c>
      <c r="D115" s="9">
        <v>44303</v>
      </c>
      <c r="E115" t="s">
        <v>425</v>
      </c>
      <c r="F115" t="s">
        <v>947</v>
      </c>
    </row>
    <row r="116" spans="1:6" x14ac:dyDescent="0.25">
      <c r="A116" t="str">
        <f t="shared" si="1"/>
        <v>customer115</v>
      </c>
      <c r="B116" t="s">
        <v>431</v>
      </c>
      <c r="C116" t="s">
        <v>437</v>
      </c>
      <c r="D116" s="9">
        <v>43971</v>
      </c>
      <c r="E116" t="s">
        <v>425</v>
      </c>
      <c r="F116" t="s">
        <v>955</v>
      </c>
    </row>
    <row r="117" spans="1:6" x14ac:dyDescent="0.25">
      <c r="A117" t="str">
        <f t="shared" si="1"/>
        <v>customer116</v>
      </c>
      <c r="B117" t="s">
        <v>431</v>
      </c>
      <c r="C117" t="s">
        <v>437</v>
      </c>
      <c r="D117" s="9">
        <v>45157</v>
      </c>
      <c r="E117" t="s">
        <v>433</v>
      </c>
      <c r="F117" t="s">
        <v>951</v>
      </c>
    </row>
    <row r="118" spans="1:6" x14ac:dyDescent="0.25">
      <c r="A118" t="str">
        <f t="shared" si="1"/>
        <v>customer117</v>
      </c>
      <c r="B118" t="s">
        <v>427</v>
      </c>
      <c r="C118" t="s">
        <v>420</v>
      </c>
      <c r="D118" s="9">
        <v>44890</v>
      </c>
      <c r="E118" t="s">
        <v>425</v>
      </c>
      <c r="F118" t="s">
        <v>954</v>
      </c>
    </row>
    <row r="119" spans="1:6" x14ac:dyDescent="0.25">
      <c r="A119" t="str">
        <f t="shared" si="1"/>
        <v>customer118</v>
      </c>
      <c r="B119" t="s">
        <v>419</v>
      </c>
      <c r="C119" t="s">
        <v>423</v>
      </c>
      <c r="D119" s="9">
        <v>44949</v>
      </c>
      <c r="E119" t="s">
        <v>425</v>
      </c>
      <c r="F119" t="s">
        <v>947</v>
      </c>
    </row>
    <row r="120" spans="1:6" x14ac:dyDescent="0.25">
      <c r="A120" t="str">
        <f t="shared" si="1"/>
        <v>customer119</v>
      </c>
      <c r="B120" t="s">
        <v>419</v>
      </c>
      <c r="C120" t="s">
        <v>437</v>
      </c>
      <c r="D120" s="9">
        <v>45206</v>
      </c>
      <c r="E120" t="s">
        <v>425</v>
      </c>
      <c r="F120" t="s">
        <v>955</v>
      </c>
    </row>
    <row r="121" spans="1:6" x14ac:dyDescent="0.25">
      <c r="A121" t="str">
        <f t="shared" si="1"/>
        <v>customer120</v>
      </c>
      <c r="B121" t="s">
        <v>419</v>
      </c>
      <c r="C121" t="s">
        <v>435</v>
      </c>
      <c r="D121" s="9">
        <v>44735</v>
      </c>
      <c r="E121" t="s">
        <v>421</v>
      </c>
      <c r="F121" t="s">
        <v>950</v>
      </c>
    </row>
    <row r="122" spans="1:6" x14ac:dyDescent="0.25">
      <c r="A122" t="str">
        <f t="shared" si="1"/>
        <v>customer121</v>
      </c>
      <c r="B122" t="s">
        <v>427</v>
      </c>
      <c r="C122" t="s">
        <v>420</v>
      </c>
      <c r="D122" s="9">
        <v>45157</v>
      </c>
      <c r="E122" t="s">
        <v>433</v>
      </c>
      <c r="F122" t="s">
        <v>946</v>
      </c>
    </row>
    <row r="123" spans="1:6" x14ac:dyDescent="0.25">
      <c r="A123" t="str">
        <f t="shared" si="1"/>
        <v>customer122</v>
      </c>
      <c r="B123" t="s">
        <v>419</v>
      </c>
      <c r="C123" t="s">
        <v>437</v>
      </c>
      <c r="D123" s="9">
        <v>44249</v>
      </c>
      <c r="E123" t="s">
        <v>425</v>
      </c>
      <c r="F123" t="s">
        <v>951</v>
      </c>
    </row>
    <row r="124" spans="1:6" x14ac:dyDescent="0.25">
      <c r="A124" t="str">
        <f t="shared" si="1"/>
        <v>customer123</v>
      </c>
      <c r="B124" t="s">
        <v>427</v>
      </c>
      <c r="C124" t="s">
        <v>428</v>
      </c>
      <c r="D124" s="9">
        <v>44977</v>
      </c>
      <c r="E124" t="s">
        <v>421</v>
      </c>
      <c r="F124" t="s">
        <v>953</v>
      </c>
    </row>
    <row r="125" spans="1:6" x14ac:dyDescent="0.25">
      <c r="A125" t="str">
        <f t="shared" si="1"/>
        <v>customer124</v>
      </c>
      <c r="B125" t="s">
        <v>427</v>
      </c>
      <c r="C125" t="s">
        <v>437</v>
      </c>
      <c r="D125" s="9">
        <v>44773</v>
      </c>
      <c r="E125" t="s">
        <v>433</v>
      </c>
      <c r="F125" t="s">
        <v>955</v>
      </c>
    </row>
    <row r="126" spans="1:6" x14ac:dyDescent="0.25">
      <c r="A126" t="str">
        <f t="shared" si="1"/>
        <v>customer125</v>
      </c>
      <c r="B126" t="s">
        <v>431</v>
      </c>
      <c r="C126" t="s">
        <v>423</v>
      </c>
      <c r="D126" s="9">
        <v>44760</v>
      </c>
      <c r="E126" t="s">
        <v>433</v>
      </c>
      <c r="F126" t="s">
        <v>949</v>
      </c>
    </row>
    <row r="127" spans="1:6" x14ac:dyDescent="0.25">
      <c r="A127" t="str">
        <f t="shared" si="1"/>
        <v>customer126</v>
      </c>
      <c r="B127" t="s">
        <v>419</v>
      </c>
      <c r="C127" t="s">
        <v>435</v>
      </c>
      <c r="D127" s="9">
        <v>45327</v>
      </c>
      <c r="E127" t="s">
        <v>425</v>
      </c>
      <c r="F127" t="s">
        <v>950</v>
      </c>
    </row>
    <row r="128" spans="1:6" x14ac:dyDescent="0.25">
      <c r="A128" t="str">
        <f t="shared" si="1"/>
        <v>customer127</v>
      </c>
      <c r="B128" t="s">
        <v>427</v>
      </c>
      <c r="C128" t="s">
        <v>437</v>
      </c>
      <c r="D128" s="9">
        <v>44305</v>
      </c>
      <c r="E128" t="s">
        <v>421</v>
      </c>
      <c r="F128" t="s">
        <v>955</v>
      </c>
    </row>
    <row r="129" spans="1:6" x14ac:dyDescent="0.25">
      <c r="A129" t="str">
        <f t="shared" si="1"/>
        <v>customer128</v>
      </c>
      <c r="B129" t="s">
        <v>431</v>
      </c>
      <c r="C129" t="s">
        <v>435</v>
      </c>
      <c r="D129" s="9">
        <v>44924</v>
      </c>
      <c r="E129" t="s">
        <v>421</v>
      </c>
      <c r="F129" t="s">
        <v>950</v>
      </c>
    </row>
    <row r="130" spans="1:6" x14ac:dyDescent="0.25">
      <c r="A130" t="str">
        <f t="shared" ref="A130:A193" si="2">"customer"&amp;ROW(A129)</f>
        <v>customer129</v>
      </c>
      <c r="B130" t="s">
        <v>419</v>
      </c>
      <c r="C130" t="s">
        <v>420</v>
      </c>
      <c r="D130" s="9">
        <v>44052</v>
      </c>
      <c r="E130" t="s">
        <v>433</v>
      </c>
      <c r="F130" t="s">
        <v>954</v>
      </c>
    </row>
    <row r="131" spans="1:6" x14ac:dyDescent="0.25">
      <c r="A131" t="str">
        <f t="shared" si="2"/>
        <v>customer130</v>
      </c>
      <c r="B131" t="s">
        <v>427</v>
      </c>
      <c r="C131" t="s">
        <v>428</v>
      </c>
      <c r="D131" s="9">
        <v>44169</v>
      </c>
      <c r="E131" t="s">
        <v>433</v>
      </c>
      <c r="F131" t="s">
        <v>948</v>
      </c>
    </row>
    <row r="132" spans="1:6" x14ac:dyDescent="0.25">
      <c r="A132" t="str">
        <f t="shared" si="2"/>
        <v>customer131</v>
      </c>
      <c r="B132" t="s">
        <v>419</v>
      </c>
      <c r="C132" t="s">
        <v>428</v>
      </c>
      <c r="D132" s="9">
        <v>44101</v>
      </c>
      <c r="E132" t="s">
        <v>421</v>
      </c>
      <c r="F132" t="s">
        <v>953</v>
      </c>
    </row>
    <row r="133" spans="1:6" x14ac:dyDescent="0.25">
      <c r="A133" t="str">
        <f t="shared" si="2"/>
        <v>customer132</v>
      </c>
      <c r="B133" t="s">
        <v>419</v>
      </c>
      <c r="C133" t="s">
        <v>437</v>
      </c>
      <c r="D133" s="9">
        <v>45551</v>
      </c>
      <c r="E133" t="s">
        <v>421</v>
      </c>
      <c r="F133" t="s">
        <v>951</v>
      </c>
    </row>
    <row r="134" spans="1:6" x14ac:dyDescent="0.25">
      <c r="A134" t="str">
        <f t="shared" si="2"/>
        <v>customer133</v>
      </c>
      <c r="B134" t="s">
        <v>427</v>
      </c>
      <c r="C134" t="s">
        <v>437</v>
      </c>
      <c r="D134" s="9">
        <v>45343</v>
      </c>
      <c r="E134" t="s">
        <v>421</v>
      </c>
      <c r="F134" t="s">
        <v>955</v>
      </c>
    </row>
    <row r="135" spans="1:6" x14ac:dyDescent="0.25">
      <c r="A135" t="str">
        <f t="shared" si="2"/>
        <v>customer134</v>
      </c>
      <c r="B135" t="s">
        <v>419</v>
      </c>
      <c r="C135" t="s">
        <v>428</v>
      </c>
      <c r="D135" s="9">
        <v>45444</v>
      </c>
      <c r="E135" t="s">
        <v>421</v>
      </c>
      <c r="F135" t="s">
        <v>948</v>
      </c>
    </row>
    <row r="136" spans="1:6" x14ac:dyDescent="0.25">
      <c r="A136" t="str">
        <f t="shared" si="2"/>
        <v>customer135</v>
      </c>
      <c r="B136" t="s">
        <v>419</v>
      </c>
      <c r="C136" t="s">
        <v>435</v>
      </c>
      <c r="D136" s="9">
        <v>44508</v>
      </c>
      <c r="E136" t="s">
        <v>425</v>
      </c>
      <c r="F136" t="s">
        <v>952</v>
      </c>
    </row>
    <row r="137" spans="1:6" x14ac:dyDescent="0.25">
      <c r="A137" t="str">
        <f t="shared" si="2"/>
        <v>customer136</v>
      </c>
      <c r="B137" t="s">
        <v>431</v>
      </c>
      <c r="C137" t="s">
        <v>428</v>
      </c>
      <c r="D137" s="9">
        <v>44794</v>
      </c>
      <c r="E137" t="s">
        <v>425</v>
      </c>
      <c r="F137" t="s">
        <v>948</v>
      </c>
    </row>
    <row r="138" spans="1:6" x14ac:dyDescent="0.25">
      <c r="A138" t="str">
        <f t="shared" si="2"/>
        <v>customer137</v>
      </c>
      <c r="B138" t="s">
        <v>431</v>
      </c>
      <c r="C138" t="s">
        <v>423</v>
      </c>
      <c r="D138" s="9">
        <v>43997</v>
      </c>
      <c r="E138" t="s">
        <v>425</v>
      </c>
      <c r="F138" t="s">
        <v>949</v>
      </c>
    </row>
    <row r="139" spans="1:6" x14ac:dyDescent="0.25">
      <c r="A139" t="str">
        <f t="shared" si="2"/>
        <v>customer138</v>
      </c>
      <c r="B139" t="s">
        <v>431</v>
      </c>
      <c r="C139" t="s">
        <v>435</v>
      </c>
      <c r="D139" s="9">
        <v>44721</v>
      </c>
      <c r="E139" t="s">
        <v>425</v>
      </c>
      <c r="F139" t="s">
        <v>952</v>
      </c>
    </row>
    <row r="140" spans="1:6" x14ac:dyDescent="0.25">
      <c r="A140" t="str">
        <f t="shared" si="2"/>
        <v>customer139</v>
      </c>
      <c r="B140" t="s">
        <v>427</v>
      </c>
      <c r="C140" t="s">
        <v>423</v>
      </c>
      <c r="D140" s="9">
        <v>44867</v>
      </c>
      <c r="E140" t="s">
        <v>433</v>
      </c>
      <c r="F140" t="s">
        <v>947</v>
      </c>
    </row>
    <row r="141" spans="1:6" x14ac:dyDescent="0.25">
      <c r="A141" t="str">
        <f t="shared" si="2"/>
        <v>customer140</v>
      </c>
      <c r="B141" t="s">
        <v>431</v>
      </c>
      <c r="C141" t="s">
        <v>420</v>
      </c>
      <c r="D141" s="9">
        <v>45188</v>
      </c>
      <c r="E141" t="s">
        <v>421</v>
      </c>
      <c r="F141" t="s">
        <v>954</v>
      </c>
    </row>
    <row r="142" spans="1:6" x14ac:dyDescent="0.25">
      <c r="A142" t="str">
        <f t="shared" si="2"/>
        <v>customer141</v>
      </c>
      <c r="B142" t="s">
        <v>427</v>
      </c>
      <c r="C142" t="s">
        <v>423</v>
      </c>
      <c r="D142" s="9">
        <v>44108</v>
      </c>
      <c r="E142" t="s">
        <v>425</v>
      </c>
      <c r="F142" t="s">
        <v>949</v>
      </c>
    </row>
    <row r="143" spans="1:6" x14ac:dyDescent="0.25">
      <c r="A143" t="str">
        <f t="shared" si="2"/>
        <v>customer142</v>
      </c>
      <c r="B143" t="s">
        <v>427</v>
      </c>
      <c r="C143" t="s">
        <v>437</v>
      </c>
      <c r="D143" s="9">
        <v>45036</v>
      </c>
      <c r="E143" t="s">
        <v>421</v>
      </c>
      <c r="F143" t="s">
        <v>951</v>
      </c>
    </row>
    <row r="144" spans="1:6" x14ac:dyDescent="0.25">
      <c r="A144" t="str">
        <f t="shared" si="2"/>
        <v>customer143</v>
      </c>
      <c r="B144" t="s">
        <v>419</v>
      </c>
      <c r="C144" t="s">
        <v>437</v>
      </c>
      <c r="D144" s="9">
        <v>45051</v>
      </c>
      <c r="E144" t="s">
        <v>421</v>
      </c>
      <c r="F144" t="s">
        <v>951</v>
      </c>
    </row>
    <row r="145" spans="1:6" x14ac:dyDescent="0.25">
      <c r="A145" t="str">
        <f t="shared" si="2"/>
        <v>customer144</v>
      </c>
      <c r="B145" t="s">
        <v>431</v>
      </c>
      <c r="C145" t="s">
        <v>423</v>
      </c>
      <c r="D145" s="9">
        <v>44060</v>
      </c>
      <c r="E145" t="s">
        <v>421</v>
      </c>
      <c r="F145" t="s">
        <v>949</v>
      </c>
    </row>
    <row r="146" spans="1:6" x14ac:dyDescent="0.25">
      <c r="A146" t="str">
        <f t="shared" si="2"/>
        <v>customer145</v>
      </c>
      <c r="B146" t="s">
        <v>431</v>
      </c>
      <c r="C146" t="s">
        <v>437</v>
      </c>
      <c r="D146" s="9">
        <v>43887</v>
      </c>
      <c r="E146" t="s">
        <v>425</v>
      </c>
      <c r="F146" t="s">
        <v>955</v>
      </c>
    </row>
    <row r="147" spans="1:6" x14ac:dyDescent="0.25">
      <c r="A147" t="str">
        <f t="shared" si="2"/>
        <v>customer146</v>
      </c>
      <c r="B147" t="s">
        <v>427</v>
      </c>
      <c r="C147" t="s">
        <v>420</v>
      </c>
      <c r="D147" s="9">
        <v>44090</v>
      </c>
      <c r="E147" t="s">
        <v>446</v>
      </c>
      <c r="F147" t="s">
        <v>954</v>
      </c>
    </row>
    <row r="148" spans="1:6" x14ac:dyDescent="0.25">
      <c r="A148" t="str">
        <f t="shared" si="2"/>
        <v>customer147</v>
      </c>
      <c r="B148" t="s">
        <v>419</v>
      </c>
      <c r="C148" t="s">
        <v>423</v>
      </c>
      <c r="D148" s="9">
        <v>45450</v>
      </c>
      <c r="E148" t="s">
        <v>421</v>
      </c>
      <c r="F148" t="s">
        <v>947</v>
      </c>
    </row>
    <row r="149" spans="1:6" x14ac:dyDescent="0.25">
      <c r="A149" t="str">
        <f t="shared" si="2"/>
        <v>customer148</v>
      </c>
      <c r="B149" t="s">
        <v>427</v>
      </c>
      <c r="C149" t="s">
        <v>420</v>
      </c>
      <c r="D149" s="9">
        <v>45515</v>
      </c>
      <c r="E149" t="s">
        <v>425</v>
      </c>
      <c r="F149" t="s">
        <v>954</v>
      </c>
    </row>
    <row r="150" spans="1:6" x14ac:dyDescent="0.25">
      <c r="A150" t="str">
        <f t="shared" si="2"/>
        <v>customer149</v>
      </c>
      <c r="B150" t="s">
        <v>431</v>
      </c>
      <c r="C150" t="s">
        <v>423</v>
      </c>
      <c r="D150" s="9">
        <v>43883</v>
      </c>
      <c r="E150" t="s">
        <v>446</v>
      </c>
      <c r="F150" t="s">
        <v>949</v>
      </c>
    </row>
    <row r="151" spans="1:6" x14ac:dyDescent="0.25">
      <c r="A151" t="str">
        <f t="shared" si="2"/>
        <v>customer150</v>
      </c>
      <c r="B151" t="s">
        <v>427</v>
      </c>
      <c r="C151" t="s">
        <v>435</v>
      </c>
      <c r="D151" s="9">
        <v>44328</v>
      </c>
      <c r="E151" t="s">
        <v>425</v>
      </c>
      <c r="F151" t="s">
        <v>950</v>
      </c>
    </row>
    <row r="152" spans="1:6" x14ac:dyDescent="0.25">
      <c r="A152" t="str">
        <f t="shared" si="2"/>
        <v>customer151</v>
      </c>
      <c r="B152" t="s">
        <v>427</v>
      </c>
      <c r="C152" t="s">
        <v>437</v>
      </c>
      <c r="D152" s="9">
        <v>45264</v>
      </c>
      <c r="E152" t="s">
        <v>421</v>
      </c>
      <c r="F152" t="s">
        <v>951</v>
      </c>
    </row>
    <row r="153" spans="1:6" x14ac:dyDescent="0.25">
      <c r="A153" t="str">
        <f t="shared" si="2"/>
        <v>customer152</v>
      </c>
      <c r="B153" t="s">
        <v>427</v>
      </c>
      <c r="C153" t="s">
        <v>423</v>
      </c>
      <c r="D153" s="9">
        <v>44453</v>
      </c>
      <c r="E153" t="s">
        <v>425</v>
      </c>
      <c r="F153" t="s">
        <v>949</v>
      </c>
    </row>
    <row r="154" spans="1:6" x14ac:dyDescent="0.25">
      <c r="A154" t="str">
        <f t="shared" si="2"/>
        <v>customer153</v>
      </c>
      <c r="B154" t="s">
        <v>419</v>
      </c>
      <c r="C154" t="s">
        <v>437</v>
      </c>
      <c r="D154" s="9">
        <v>43989</v>
      </c>
      <c r="E154" t="s">
        <v>425</v>
      </c>
      <c r="F154" t="s">
        <v>955</v>
      </c>
    </row>
    <row r="155" spans="1:6" x14ac:dyDescent="0.25">
      <c r="A155" t="str">
        <f t="shared" si="2"/>
        <v>customer154</v>
      </c>
      <c r="B155" t="s">
        <v>431</v>
      </c>
      <c r="C155" t="s">
        <v>420</v>
      </c>
      <c r="D155" s="9">
        <v>45277</v>
      </c>
      <c r="E155" t="s">
        <v>425</v>
      </c>
      <c r="F155" t="s">
        <v>954</v>
      </c>
    </row>
    <row r="156" spans="1:6" x14ac:dyDescent="0.25">
      <c r="A156" t="str">
        <f t="shared" si="2"/>
        <v>customer155</v>
      </c>
      <c r="B156" t="s">
        <v>427</v>
      </c>
      <c r="C156" t="s">
        <v>435</v>
      </c>
      <c r="D156" s="9">
        <v>44551</v>
      </c>
      <c r="E156" t="s">
        <v>433</v>
      </c>
      <c r="F156" t="s">
        <v>952</v>
      </c>
    </row>
    <row r="157" spans="1:6" x14ac:dyDescent="0.25">
      <c r="A157" t="str">
        <f t="shared" si="2"/>
        <v>customer156</v>
      </c>
      <c r="B157" t="s">
        <v>419</v>
      </c>
      <c r="C157" t="s">
        <v>437</v>
      </c>
      <c r="D157" s="9">
        <v>44988</v>
      </c>
      <c r="E157" t="s">
        <v>433</v>
      </c>
      <c r="F157" t="s">
        <v>951</v>
      </c>
    </row>
    <row r="158" spans="1:6" x14ac:dyDescent="0.25">
      <c r="A158" t="str">
        <f t="shared" si="2"/>
        <v>customer157</v>
      </c>
      <c r="B158" t="s">
        <v>427</v>
      </c>
      <c r="C158" t="s">
        <v>423</v>
      </c>
      <c r="D158" s="9">
        <v>44144</v>
      </c>
      <c r="E158" t="s">
        <v>421</v>
      </c>
      <c r="F158" t="s">
        <v>947</v>
      </c>
    </row>
    <row r="159" spans="1:6" x14ac:dyDescent="0.25">
      <c r="A159" t="str">
        <f t="shared" si="2"/>
        <v>customer158</v>
      </c>
      <c r="B159" t="s">
        <v>419</v>
      </c>
      <c r="C159" t="s">
        <v>428</v>
      </c>
      <c r="D159" s="9">
        <v>45483</v>
      </c>
      <c r="E159" t="s">
        <v>425</v>
      </c>
      <c r="F159" t="s">
        <v>953</v>
      </c>
    </row>
    <row r="160" spans="1:6" x14ac:dyDescent="0.25">
      <c r="A160" t="str">
        <f t="shared" si="2"/>
        <v>customer159</v>
      </c>
      <c r="B160" t="s">
        <v>431</v>
      </c>
      <c r="C160" t="s">
        <v>420</v>
      </c>
      <c r="D160" s="9">
        <v>43984</v>
      </c>
      <c r="E160" t="s">
        <v>425</v>
      </c>
      <c r="F160" t="s">
        <v>946</v>
      </c>
    </row>
    <row r="161" spans="1:6" x14ac:dyDescent="0.25">
      <c r="A161" t="str">
        <f t="shared" si="2"/>
        <v>customer160</v>
      </c>
      <c r="B161" t="s">
        <v>431</v>
      </c>
      <c r="C161" t="s">
        <v>437</v>
      </c>
      <c r="D161" s="9">
        <v>44941</v>
      </c>
      <c r="E161" t="s">
        <v>425</v>
      </c>
      <c r="F161" t="s">
        <v>955</v>
      </c>
    </row>
    <row r="162" spans="1:6" x14ac:dyDescent="0.25">
      <c r="A162" t="str">
        <f t="shared" si="2"/>
        <v>customer161</v>
      </c>
      <c r="B162" t="s">
        <v>427</v>
      </c>
      <c r="C162" t="s">
        <v>437</v>
      </c>
      <c r="D162" s="9">
        <v>45534</v>
      </c>
      <c r="E162" t="s">
        <v>433</v>
      </c>
      <c r="F162" t="s">
        <v>951</v>
      </c>
    </row>
    <row r="163" spans="1:6" x14ac:dyDescent="0.25">
      <c r="A163" t="str">
        <f t="shared" si="2"/>
        <v>customer162</v>
      </c>
      <c r="B163" t="s">
        <v>419</v>
      </c>
      <c r="C163" t="s">
        <v>420</v>
      </c>
      <c r="D163" s="9">
        <v>45174</v>
      </c>
      <c r="E163" t="s">
        <v>433</v>
      </c>
      <c r="F163" t="s">
        <v>946</v>
      </c>
    </row>
    <row r="164" spans="1:6" x14ac:dyDescent="0.25">
      <c r="A164" t="str">
        <f t="shared" si="2"/>
        <v>customer163</v>
      </c>
      <c r="B164" t="s">
        <v>431</v>
      </c>
      <c r="C164" t="s">
        <v>428</v>
      </c>
      <c r="D164" s="9">
        <v>44116</v>
      </c>
      <c r="E164" t="s">
        <v>421</v>
      </c>
      <c r="F164" t="s">
        <v>948</v>
      </c>
    </row>
    <row r="165" spans="1:6" x14ac:dyDescent="0.25">
      <c r="A165" t="str">
        <f t="shared" si="2"/>
        <v>customer164</v>
      </c>
      <c r="B165" t="s">
        <v>427</v>
      </c>
      <c r="C165" t="s">
        <v>435</v>
      </c>
      <c r="D165" s="9">
        <v>45245</v>
      </c>
      <c r="E165" t="s">
        <v>425</v>
      </c>
      <c r="F165" t="s">
        <v>952</v>
      </c>
    </row>
    <row r="166" spans="1:6" x14ac:dyDescent="0.25">
      <c r="A166" t="str">
        <f t="shared" si="2"/>
        <v>customer165</v>
      </c>
      <c r="B166" t="s">
        <v>431</v>
      </c>
      <c r="C166" t="s">
        <v>420</v>
      </c>
      <c r="D166" s="9">
        <v>44992</v>
      </c>
      <c r="E166" t="s">
        <v>421</v>
      </c>
      <c r="F166" t="s">
        <v>946</v>
      </c>
    </row>
    <row r="167" spans="1:6" x14ac:dyDescent="0.25">
      <c r="A167" t="str">
        <f t="shared" si="2"/>
        <v>customer166</v>
      </c>
      <c r="B167" t="s">
        <v>427</v>
      </c>
      <c r="C167" t="s">
        <v>420</v>
      </c>
      <c r="D167" s="9">
        <v>44089</v>
      </c>
      <c r="E167" t="s">
        <v>421</v>
      </c>
      <c r="F167" t="s">
        <v>946</v>
      </c>
    </row>
    <row r="168" spans="1:6" x14ac:dyDescent="0.25">
      <c r="A168" t="str">
        <f t="shared" si="2"/>
        <v>customer167</v>
      </c>
      <c r="B168" t="s">
        <v>431</v>
      </c>
      <c r="C168" t="s">
        <v>428</v>
      </c>
      <c r="D168" s="9">
        <v>45391</v>
      </c>
      <c r="E168" t="s">
        <v>433</v>
      </c>
      <c r="F168" t="s">
        <v>948</v>
      </c>
    </row>
    <row r="169" spans="1:6" x14ac:dyDescent="0.25">
      <c r="A169" t="str">
        <f t="shared" si="2"/>
        <v>customer168</v>
      </c>
      <c r="B169" t="s">
        <v>431</v>
      </c>
      <c r="C169" t="s">
        <v>437</v>
      </c>
      <c r="D169" s="9">
        <v>43881</v>
      </c>
      <c r="E169" t="s">
        <v>421</v>
      </c>
      <c r="F169" t="s">
        <v>955</v>
      </c>
    </row>
    <row r="170" spans="1:6" x14ac:dyDescent="0.25">
      <c r="A170" t="str">
        <f t="shared" si="2"/>
        <v>customer169</v>
      </c>
      <c r="B170" t="s">
        <v>431</v>
      </c>
      <c r="C170" t="s">
        <v>437</v>
      </c>
      <c r="D170" s="9">
        <v>45243</v>
      </c>
      <c r="E170" t="s">
        <v>425</v>
      </c>
      <c r="F170" t="s">
        <v>955</v>
      </c>
    </row>
    <row r="171" spans="1:6" x14ac:dyDescent="0.25">
      <c r="A171" t="str">
        <f t="shared" si="2"/>
        <v>customer170</v>
      </c>
      <c r="B171" t="s">
        <v>427</v>
      </c>
      <c r="C171" t="s">
        <v>423</v>
      </c>
      <c r="D171" s="9">
        <v>44898</v>
      </c>
      <c r="E171" t="s">
        <v>425</v>
      </c>
      <c r="F171" t="s">
        <v>949</v>
      </c>
    </row>
    <row r="172" spans="1:6" x14ac:dyDescent="0.25">
      <c r="A172" t="str">
        <f t="shared" si="2"/>
        <v>customer171</v>
      </c>
      <c r="B172" t="s">
        <v>419</v>
      </c>
      <c r="C172" t="s">
        <v>420</v>
      </c>
      <c r="D172" s="9">
        <v>45280</v>
      </c>
      <c r="E172" t="s">
        <v>425</v>
      </c>
      <c r="F172" t="s">
        <v>946</v>
      </c>
    </row>
    <row r="173" spans="1:6" x14ac:dyDescent="0.25">
      <c r="A173" t="str">
        <f t="shared" si="2"/>
        <v>customer172</v>
      </c>
      <c r="B173" t="s">
        <v>431</v>
      </c>
      <c r="C173" t="s">
        <v>420</v>
      </c>
      <c r="D173" s="9">
        <v>43995</v>
      </c>
      <c r="E173" t="s">
        <v>421</v>
      </c>
      <c r="F173" t="s">
        <v>954</v>
      </c>
    </row>
    <row r="174" spans="1:6" x14ac:dyDescent="0.25">
      <c r="A174" t="str">
        <f t="shared" si="2"/>
        <v>customer173</v>
      </c>
      <c r="B174" t="s">
        <v>427</v>
      </c>
      <c r="C174" t="s">
        <v>428</v>
      </c>
      <c r="D174" s="9">
        <v>45540</v>
      </c>
      <c r="E174" t="s">
        <v>421</v>
      </c>
      <c r="F174" t="s">
        <v>953</v>
      </c>
    </row>
    <row r="175" spans="1:6" x14ac:dyDescent="0.25">
      <c r="A175" t="str">
        <f t="shared" si="2"/>
        <v>customer174</v>
      </c>
      <c r="B175" t="s">
        <v>419</v>
      </c>
      <c r="C175" t="s">
        <v>428</v>
      </c>
      <c r="D175" s="9">
        <v>44174</v>
      </c>
      <c r="E175" t="s">
        <v>446</v>
      </c>
      <c r="F175" t="s">
        <v>948</v>
      </c>
    </row>
    <row r="176" spans="1:6" x14ac:dyDescent="0.25">
      <c r="A176" t="str">
        <f t="shared" si="2"/>
        <v>customer175</v>
      </c>
      <c r="B176" t="s">
        <v>431</v>
      </c>
      <c r="C176" t="s">
        <v>423</v>
      </c>
      <c r="D176" s="9">
        <v>45302</v>
      </c>
      <c r="E176" t="s">
        <v>446</v>
      </c>
      <c r="F176" t="s">
        <v>947</v>
      </c>
    </row>
    <row r="177" spans="1:6" x14ac:dyDescent="0.25">
      <c r="A177" t="str">
        <f t="shared" si="2"/>
        <v>customer176</v>
      </c>
      <c r="B177" t="s">
        <v>431</v>
      </c>
      <c r="C177" t="s">
        <v>435</v>
      </c>
      <c r="D177" s="9">
        <v>44754</v>
      </c>
      <c r="E177" t="s">
        <v>421</v>
      </c>
      <c r="F177" t="s">
        <v>952</v>
      </c>
    </row>
    <row r="178" spans="1:6" x14ac:dyDescent="0.25">
      <c r="A178" t="str">
        <f t="shared" si="2"/>
        <v>customer177</v>
      </c>
      <c r="B178" t="s">
        <v>427</v>
      </c>
      <c r="C178" t="s">
        <v>428</v>
      </c>
      <c r="D178" s="9">
        <v>44586</v>
      </c>
      <c r="E178" t="s">
        <v>421</v>
      </c>
      <c r="F178" t="s">
        <v>953</v>
      </c>
    </row>
    <row r="179" spans="1:6" x14ac:dyDescent="0.25">
      <c r="A179" t="str">
        <f t="shared" si="2"/>
        <v>customer178</v>
      </c>
      <c r="B179" t="s">
        <v>419</v>
      </c>
      <c r="C179" t="s">
        <v>437</v>
      </c>
      <c r="D179" s="9">
        <v>44247</v>
      </c>
      <c r="E179" t="s">
        <v>421</v>
      </c>
      <c r="F179" t="s">
        <v>951</v>
      </c>
    </row>
    <row r="180" spans="1:6" x14ac:dyDescent="0.25">
      <c r="A180" t="str">
        <f t="shared" si="2"/>
        <v>customer179</v>
      </c>
      <c r="B180" t="s">
        <v>427</v>
      </c>
      <c r="C180" t="s">
        <v>420</v>
      </c>
      <c r="D180" s="9">
        <v>44983</v>
      </c>
      <c r="E180" t="s">
        <v>446</v>
      </c>
      <c r="F180" t="s">
        <v>946</v>
      </c>
    </row>
    <row r="181" spans="1:6" x14ac:dyDescent="0.25">
      <c r="A181" t="str">
        <f t="shared" si="2"/>
        <v>customer180</v>
      </c>
      <c r="B181" t="s">
        <v>419</v>
      </c>
      <c r="C181" t="s">
        <v>428</v>
      </c>
      <c r="D181" s="9">
        <v>44649</v>
      </c>
      <c r="E181" t="s">
        <v>425</v>
      </c>
      <c r="F181" t="s">
        <v>953</v>
      </c>
    </row>
    <row r="182" spans="1:6" x14ac:dyDescent="0.25">
      <c r="A182" t="str">
        <f t="shared" si="2"/>
        <v>customer181</v>
      </c>
      <c r="B182" t="s">
        <v>427</v>
      </c>
      <c r="C182" t="s">
        <v>420</v>
      </c>
      <c r="D182" s="9">
        <v>44672</v>
      </c>
      <c r="E182" t="s">
        <v>421</v>
      </c>
      <c r="F182" t="s">
        <v>954</v>
      </c>
    </row>
    <row r="183" spans="1:6" x14ac:dyDescent="0.25">
      <c r="A183" t="str">
        <f t="shared" si="2"/>
        <v>customer182</v>
      </c>
      <c r="B183" t="s">
        <v>419</v>
      </c>
      <c r="C183" t="s">
        <v>420</v>
      </c>
      <c r="D183" s="9">
        <v>44804</v>
      </c>
      <c r="E183" t="s">
        <v>425</v>
      </c>
      <c r="F183" t="s">
        <v>946</v>
      </c>
    </row>
    <row r="184" spans="1:6" x14ac:dyDescent="0.25">
      <c r="A184" t="str">
        <f t="shared" si="2"/>
        <v>customer183</v>
      </c>
      <c r="B184" t="s">
        <v>427</v>
      </c>
      <c r="C184" t="s">
        <v>420</v>
      </c>
      <c r="D184" s="9">
        <v>44220</v>
      </c>
      <c r="E184" t="s">
        <v>421</v>
      </c>
      <c r="F184" t="s">
        <v>954</v>
      </c>
    </row>
    <row r="185" spans="1:6" x14ac:dyDescent="0.25">
      <c r="A185" t="str">
        <f t="shared" si="2"/>
        <v>customer184</v>
      </c>
      <c r="B185" t="s">
        <v>427</v>
      </c>
      <c r="C185" t="s">
        <v>428</v>
      </c>
      <c r="D185" s="9">
        <v>45027</v>
      </c>
      <c r="E185" t="s">
        <v>433</v>
      </c>
      <c r="F185" t="s">
        <v>953</v>
      </c>
    </row>
    <row r="186" spans="1:6" x14ac:dyDescent="0.25">
      <c r="A186" t="str">
        <f t="shared" si="2"/>
        <v>customer185</v>
      </c>
      <c r="B186" t="s">
        <v>427</v>
      </c>
      <c r="C186" t="s">
        <v>423</v>
      </c>
      <c r="D186" s="9">
        <v>45552</v>
      </c>
      <c r="E186" t="s">
        <v>446</v>
      </c>
      <c r="F186" t="s">
        <v>947</v>
      </c>
    </row>
    <row r="187" spans="1:6" x14ac:dyDescent="0.25">
      <c r="A187" t="str">
        <f t="shared" si="2"/>
        <v>customer186</v>
      </c>
      <c r="B187" t="s">
        <v>419</v>
      </c>
      <c r="C187" t="s">
        <v>423</v>
      </c>
      <c r="D187" s="9">
        <v>45350</v>
      </c>
      <c r="E187" t="s">
        <v>425</v>
      </c>
      <c r="F187" t="s">
        <v>947</v>
      </c>
    </row>
    <row r="188" spans="1:6" x14ac:dyDescent="0.25">
      <c r="A188" t="str">
        <f t="shared" si="2"/>
        <v>customer187</v>
      </c>
      <c r="B188" t="s">
        <v>431</v>
      </c>
      <c r="C188" t="s">
        <v>435</v>
      </c>
      <c r="D188" s="9">
        <v>45593</v>
      </c>
      <c r="E188" t="s">
        <v>425</v>
      </c>
      <c r="F188" t="s">
        <v>950</v>
      </c>
    </row>
    <row r="189" spans="1:6" x14ac:dyDescent="0.25">
      <c r="A189" t="str">
        <f t="shared" si="2"/>
        <v>customer188</v>
      </c>
      <c r="B189" t="s">
        <v>427</v>
      </c>
      <c r="C189" t="s">
        <v>435</v>
      </c>
      <c r="D189" s="9">
        <v>45006</v>
      </c>
      <c r="E189" t="s">
        <v>425</v>
      </c>
      <c r="F189" t="s">
        <v>950</v>
      </c>
    </row>
    <row r="190" spans="1:6" x14ac:dyDescent="0.25">
      <c r="A190" t="str">
        <f t="shared" si="2"/>
        <v>customer189</v>
      </c>
      <c r="B190" t="s">
        <v>431</v>
      </c>
      <c r="C190" t="s">
        <v>423</v>
      </c>
      <c r="D190" s="9">
        <v>44495</v>
      </c>
      <c r="E190" t="s">
        <v>433</v>
      </c>
      <c r="F190" t="s">
        <v>949</v>
      </c>
    </row>
    <row r="191" spans="1:6" x14ac:dyDescent="0.25">
      <c r="A191" t="str">
        <f t="shared" si="2"/>
        <v>customer190</v>
      </c>
      <c r="B191" t="s">
        <v>419</v>
      </c>
      <c r="C191" t="s">
        <v>420</v>
      </c>
      <c r="D191" s="9">
        <v>45443</v>
      </c>
      <c r="E191" t="s">
        <v>425</v>
      </c>
      <c r="F191" t="s">
        <v>954</v>
      </c>
    </row>
    <row r="192" spans="1:6" x14ac:dyDescent="0.25">
      <c r="A192" t="str">
        <f t="shared" si="2"/>
        <v>customer191</v>
      </c>
      <c r="B192" t="s">
        <v>431</v>
      </c>
      <c r="C192" t="s">
        <v>437</v>
      </c>
      <c r="D192" s="9">
        <v>45247</v>
      </c>
      <c r="E192" t="s">
        <v>421</v>
      </c>
      <c r="F192" t="s">
        <v>955</v>
      </c>
    </row>
    <row r="193" spans="1:6" x14ac:dyDescent="0.25">
      <c r="A193" t="str">
        <f t="shared" si="2"/>
        <v>customer192</v>
      </c>
      <c r="B193" t="s">
        <v>419</v>
      </c>
      <c r="C193" t="s">
        <v>423</v>
      </c>
      <c r="D193" s="9">
        <v>44674</v>
      </c>
      <c r="E193" t="s">
        <v>425</v>
      </c>
      <c r="F193" t="s">
        <v>949</v>
      </c>
    </row>
    <row r="194" spans="1:6" x14ac:dyDescent="0.25">
      <c r="A194" t="str">
        <f t="shared" ref="A194:A221" si="3">"customer"&amp;ROW(A193)</f>
        <v>customer193</v>
      </c>
      <c r="B194" t="s">
        <v>431</v>
      </c>
      <c r="C194" t="s">
        <v>437</v>
      </c>
      <c r="D194" s="9">
        <v>45189</v>
      </c>
      <c r="E194" t="s">
        <v>421</v>
      </c>
      <c r="F194" t="s">
        <v>951</v>
      </c>
    </row>
    <row r="195" spans="1:6" x14ac:dyDescent="0.25">
      <c r="A195" t="str">
        <f t="shared" si="3"/>
        <v>customer194</v>
      </c>
      <c r="B195" t="s">
        <v>427</v>
      </c>
      <c r="C195" t="s">
        <v>435</v>
      </c>
      <c r="D195" s="9">
        <v>44254</v>
      </c>
      <c r="E195" t="s">
        <v>433</v>
      </c>
      <c r="F195" t="s">
        <v>950</v>
      </c>
    </row>
    <row r="196" spans="1:6" x14ac:dyDescent="0.25">
      <c r="A196" t="str">
        <f t="shared" si="3"/>
        <v>customer195</v>
      </c>
      <c r="B196" t="s">
        <v>419</v>
      </c>
      <c r="C196" t="s">
        <v>435</v>
      </c>
      <c r="D196" s="9">
        <v>45010</v>
      </c>
      <c r="E196" t="s">
        <v>425</v>
      </c>
      <c r="F196" t="s">
        <v>952</v>
      </c>
    </row>
    <row r="197" spans="1:6" x14ac:dyDescent="0.25">
      <c r="A197" t="str">
        <f t="shared" si="3"/>
        <v>customer196</v>
      </c>
      <c r="B197" t="s">
        <v>431</v>
      </c>
      <c r="C197" t="s">
        <v>435</v>
      </c>
      <c r="D197" s="9">
        <v>44139</v>
      </c>
      <c r="E197" t="s">
        <v>421</v>
      </c>
      <c r="F197" t="s">
        <v>952</v>
      </c>
    </row>
    <row r="198" spans="1:6" x14ac:dyDescent="0.25">
      <c r="A198" t="str">
        <f t="shared" si="3"/>
        <v>customer197</v>
      </c>
      <c r="B198" t="s">
        <v>431</v>
      </c>
      <c r="C198" t="s">
        <v>437</v>
      </c>
      <c r="D198" s="9">
        <v>45507</v>
      </c>
      <c r="E198" t="s">
        <v>425</v>
      </c>
      <c r="F198" t="s">
        <v>951</v>
      </c>
    </row>
    <row r="199" spans="1:6" x14ac:dyDescent="0.25">
      <c r="A199" t="str">
        <f t="shared" si="3"/>
        <v>customer198</v>
      </c>
      <c r="B199" t="s">
        <v>427</v>
      </c>
      <c r="C199" t="s">
        <v>428</v>
      </c>
      <c r="D199" s="9">
        <v>44783</v>
      </c>
      <c r="E199" t="s">
        <v>425</v>
      </c>
      <c r="F199" t="s">
        <v>948</v>
      </c>
    </row>
    <row r="200" spans="1:6" x14ac:dyDescent="0.25">
      <c r="A200" t="str">
        <f t="shared" si="3"/>
        <v>customer199</v>
      </c>
      <c r="B200" t="s">
        <v>419</v>
      </c>
      <c r="C200" t="s">
        <v>420</v>
      </c>
      <c r="D200" s="9">
        <v>43954</v>
      </c>
      <c r="E200" t="s">
        <v>433</v>
      </c>
      <c r="F200" t="s">
        <v>954</v>
      </c>
    </row>
    <row r="201" spans="1:6" x14ac:dyDescent="0.25">
      <c r="A201" t="str">
        <f t="shared" si="3"/>
        <v>customer200</v>
      </c>
      <c r="B201" t="s">
        <v>427</v>
      </c>
      <c r="C201" t="s">
        <v>435</v>
      </c>
      <c r="D201" s="9">
        <v>44389</v>
      </c>
      <c r="E201" t="s">
        <v>425</v>
      </c>
      <c r="F201" t="s">
        <v>950</v>
      </c>
    </row>
    <row r="202" spans="1:6" x14ac:dyDescent="0.25">
      <c r="A202" t="str">
        <f t="shared" si="3"/>
        <v>customer201</v>
      </c>
      <c r="B202" t="s">
        <v>419</v>
      </c>
      <c r="C202" t="s">
        <v>435</v>
      </c>
      <c r="D202" s="9">
        <v>44114</v>
      </c>
      <c r="E202" t="s">
        <v>425</v>
      </c>
      <c r="F202" t="s">
        <v>952</v>
      </c>
    </row>
    <row r="203" spans="1:6" x14ac:dyDescent="0.25">
      <c r="A203" t="str">
        <f t="shared" si="3"/>
        <v>customer202</v>
      </c>
      <c r="B203" t="s">
        <v>419</v>
      </c>
      <c r="C203" t="s">
        <v>437</v>
      </c>
      <c r="D203" s="9">
        <v>44708</v>
      </c>
      <c r="E203" t="s">
        <v>425</v>
      </c>
      <c r="F203" t="s">
        <v>951</v>
      </c>
    </row>
    <row r="204" spans="1:6" x14ac:dyDescent="0.25">
      <c r="A204" t="str">
        <f t="shared" si="3"/>
        <v>customer203</v>
      </c>
      <c r="B204" t="s">
        <v>419</v>
      </c>
      <c r="C204" t="s">
        <v>437</v>
      </c>
      <c r="D204" s="9">
        <v>44263</v>
      </c>
      <c r="E204" t="s">
        <v>425</v>
      </c>
      <c r="F204" t="s">
        <v>951</v>
      </c>
    </row>
    <row r="205" spans="1:6" x14ac:dyDescent="0.25">
      <c r="A205" t="str">
        <f t="shared" si="3"/>
        <v>customer204</v>
      </c>
      <c r="B205" t="s">
        <v>427</v>
      </c>
      <c r="C205" t="s">
        <v>437</v>
      </c>
      <c r="D205" s="9">
        <v>45270</v>
      </c>
      <c r="E205" t="s">
        <v>425</v>
      </c>
      <c r="F205" t="s">
        <v>951</v>
      </c>
    </row>
    <row r="206" spans="1:6" x14ac:dyDescent="0.25">
      <c r="A206" t="str">
        <f t="shared" si="3"/>
        <v>customer205</v>
      </c>
      <c r="B206" t="s">
        <v>419</v>
      </c>
      <c r="C206" t="s">
        <v>423</v>
      </c>
      <c r="D206" s="9">
        <v>45352</v>
      </c>
      <c r="E206" t="s">
        <v>425</v>
      </c>
      <c r="F206" t="s">
        <v>949</v>
      </c>
    </row>
    <row r="207" spans="1:6" x14ac:dyDescent="0.25">
      <c r="A207" t="str">
        <f t="shared" si="3"/>
        <v>customer206</v>
      </c>
      <c r="B207" t="s">
        <v>427</v>
      </c>
      <c r="C207" t="s">
        <v>420</v>
      </c>
      <c r="D207" s="9">
        <v>44168</v>
      </c>
      <c r="E207" t="s">
        <v>446</v>
      </c>
      <c r="F207" t="s">
        <v>954</v>
      </c>
    </row>
    <row r="208" spans="1:6" x14ac:dyDescent="0.25">
      <c r="A208" t="str">
        <f t="shared" si="3"/>
        <v>customer207</v>
      </c>
      <c r="B208" t="s">
        <v>431</v>
      </c>
      <c r="C208" t="s">
        <v>437</v>
      </c>
      <c r="D208" s="9">
        <v>44036</v>
      </c>
      <c r="E208" t="s">
        <v>425</v>
      </c>
      <c r="F208" t="s">
        <v>951</v>
      </c>
    </row>
    <row r="209" spans="1:6" x14ac:dyDescent="0.25">
      <c r="A209" t="str">
        <f t="shared" si="3"/>
        <v>customer208</v>
      </c>
      <c r="B209" t="s">
        <v>427</v>
      </c>
      <c r="C209" t="s">
        <v>437</v>
      </c>
      <c r="D209" s="9">
        <v>44803</v>
      </c>
      <c r="E209" t="s">
        <v>421</v>
      </c>
      <c r="F209" t="s">
        <v>951</v>
      </c>
    </row>
    <row r="210" spans="1:6" x14ac:dyDescent="0.25">
      <c r="A210" t="str">
        <f t="shared" si="3"/>
        <v>customer209</v>
      </c>
      <c r="B210" t="s">
        <v>419</v>
      </c>
      <c r="C210" t="s">
        <v>437</v>
      </c>
      <c r="D210" s="9">
        <v>45504</v>
      </c>
      <c r="E210" t="s">
        <v>433</v>
      </c>
      <c r="F210" t="s">
        <v>955</v>
      </c>
    </row>
    <row r="211" spans="1:6" x14ac:dyDescent="0.25">
      <c r="A211" t="str">
        <f t="shared" si="3"/>
        <v>customer210</v>
      </c>
      <c r="B211" t="s">
        <v>431</v>
      </c>
      <c r="C211" t="s">
        <v>420</v>
      </c>
      <c r="D211" s="9">
        <v>44238</v>
      </c>
      <c r="E211" t="s">
        <v>425</v>
      </c>
      <c r="F211" t="s">
        <v>954</v>
      </c>
    </row>
    <row r="212" spans="1:6" x14ac:dyDescent="0.25">
      <c r="A212" t="str">
        <f t="shared" si="3"/>
        <v>customer211</v>
      </c>
      <c r="B212" t="s">
        <v>427</v>
      </c>
      <c r="C212" t="s">
        <v>423</v>
      </c>
      <c r="D212" s="9">
        <v>44607</v>
      </c>
      <c r="E212" t="s">
        <v>425</v>
      </c>
      <c r="F212" t="s">
        <v>947</v>
      </c>
    </row>
    <row r="213" spans="1:6" x14ac:dyDescent="0.25">
      <c r="A213" t="str">
        <f t="shared" si="3"/>
        <v>customer212</v>
      </c>
      <c r="B213" t="s">
        <v>419</v>
      </c>
      <c r="C213" t="s">
        <v>428</v>
      </c>
      <c r="D213" s="9">
        <v>45049</v>
      </c>
      <c r="E213" t="s">
        <v>433</v>
      </c>
      <c r="F213" t="s">
        <v>953</v>
      </c>
    </row>
    <row r="214" spans="1:6" x14ac:dyDescent="0.25">
      <c r="A214" t="str">
        <f t="shared" si="3"/>
        <v>customer213</v>
      </c>
      <c r="B214" t="s">
        <v>427</v>
      </c>
      <c r="C214" t="s">
        <v>428</v>
      </c>
      <c r="D214" s="9">
        <v>44518</v>
      </c>
      <c r="E214" t="s">
        <v>425</v>
      </c>
      <c r="F214" t="s">
        <v>953</v>
      </c>
    </row>
    <row r="215" spans="1:6" x14ac:dyDescent="0.25">
      <c r="A215" t="str">
        <f t="shared" si="3"/>
        <v>customer214</v>
      </c>
      <c r="B215" t="s">
        <v>427</v>
      </c>
      <c r="C215" t="s">
        <v>423</v>
      </c>
      <c r="D215" s="9">
        <v>44401</v>
      </c>
      <c r="E215" t="s">
        <v>433</v>
      </c>
      <c r="F215" t="s">
        <v>949</v>
      </c>
    </row>
    <row r="216" spans="1:6" x14ac:dyDescent="0.25">
      <c r="A216" t="str">
        <f t="shared" si="3"/>
        <v>customer215</v>
      </c>
      <c r="B216" t="s">
        <v>431</v>
      </c>
      <c r="C216" t="s">
        <v>420</v>
      </c>
      <c r="D216" s="9">
        <v>44528</v>
      </c>
      <c r="E216" t="s">
        <v>425</v>
      </c>
      <c r="F216" t="s">
        <v>954</v>
      </c>
    </row>
    <row r="217" spans="1:6" x14ac:dyDescent="0.25">
      <c r="A217" t="str">
        <f t="shared" si="3"/>
        <v>customer216</v>
      </c>
      <c r="B217" t="s">
        <v>419</v>
      </c>
      <c r="C217" t="s">
        <v>428</v>
      </c>
      <c r="D217" s="9">
        <v>44702</v>
      </c>
      <c r="E217" t="s">
        <v>425</v>
      </c>
      <c r="F217" t="s">
        <v>953</v>
      </c>
    </row>
    <row r="218" spans="1:6" x14ac:dyDescent="0.25">
      <c r="A218" t="str">
        <f t="shared" si="3"/>
        <v>customer217</v>
      </c>
      <c r="B218" t="s">
        <v>431</v>
      </c>
      <c r="C218" t="s">
        <v>420</v>
      </c>
      <c r="D218" s="9">
        <v>44918</v>
      </c>
      <c r="E218" t="s">
        <v>446</v>
      </c>
      <c r="F218" t="s">
        <v>946</v>
      </c>
    </row>
    <row r="219" spans="1:6" x14ac:dyDescent="0.25">
      <c r="A219" t="str">
        <f t="shared" si="3"/>
        <v>customer218</v>
      </c>
      <c r="B219" t="s">
        <v>427</v>
      </c>
      <c r="C219" t="s">
        <v>437</v>
      </c>
      <c r="D219" s="9">
        <v>44647</v>
      </c>
      <c r="E219" t="s">
        <v>433</v>
      </c>
      <c r="F219" t="s">
        <v>951</v>
      </c>
    </row>
    <row r="220" spans="1:6" x14ac:dyDescent="0.25">
      <c r="A220" t="str">
        <f t="shared" si="3"/>
        <v>customer219</v>
      </c>
      <c r="B220" t="s">
        <v>431</v>
      </c>
      <c r="C220" t="s">
        <v>435</v>
      </c>
      <c r="D220" s="9">
        <v>44878</v>
      </c>
      <c r="E220" t="s">
        <v>433</v>
      </c>
      <c r="F220" t="s">
        <v>952</v>
      </c>
    </row>
    <row r="221" spans="1:6" x14ac:dyDescent="0.25">
      <c r="A221" t="str">
        <f t="shared" si="3"/>
        <v>customer220</v>
      </c>
      <c r="B221" t="s">
        <v>419</v>
      </c>
      <c r="C221" t="s">
        <v>435</v>
      </c>
      <c r="D221" s="9">
        <v>45360</v>
      </c>
      <c r="E221" t="s">
        <v>433</v>
      </c>
      <c r="F221" t="s">
        <v>952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F2FC-1278-4D2E-890F-32EB153CC5B6}">
  <dimension ref="A1"/>
  <sheetViews>
    <sheetView showGridLines="0" zoomScale="78" zoomScaleNormal="78" workbookViewId="0">
      <selection activeCell="AF47" sqref="AF47"/>
    </sheetView>
  </sheetViews>
  <sheetFormatPr defaultRowHeight="15" x14ac:dyDescent="0.25"/>
  <cols>
    <col min="1" max="16384" width="9.140625" style="2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FE97512-8075-4600-862E-B35EE9428FF8}">
  <ds:schemaRefs/>
</ds:datastoreItem>
</file>

<file path=customXml/itemProps2.xml><?xml version="1.0" encoding="utf-8"?>
<ds:datastoreItem xmlns:ds="http://schemas.openxmlformats.org/officeDocument/2006/customXml" ds:itemID="{2D9A4861-4461-4703-9E20-FF90A9CF0DB0}">
  <ds:schemaRefs/>
</ds:datastoreItem>
</file>

<file path=customXml/itemProps3.xml><?xml version="1.0" encoding="utf-8"?>
<ds:datastoreItem xmlns:ds="http://schemas.openxmlformats.org/officeDocument/2006/customXml" ds:itemID="{8B3F4856-B097-4AAC-93C3-4174E879DB50}">
  <ds:schemaRefs/>
</ds:datastoreItem>
</file>

<file path=customXml/itemProps4.xml><?xml version="1.0" encoding="utf-8"?>
<ds:datastoreItem xmlns:ds="http://schemas.openxmlformats.org/officeDocument/2006/customXml" ds:itemID="{05F40E2A-CBE3-4B51-989A-F7F720B2CC52}">
  <ds:schemaRefs/>
</ds:datastoreItem>
</file>

<file path=customXml/itemProps5.xml><?xml version="1.0" encoding="utf-8"?>
<ds:datastoreItem xmlns:ds="http://schemas.openxmlformats.org/officeDocument/2006/customXml" ds:itemID="{C06DDD9A-16DA-415C-9DDB-B97CA589860B}">
  <ds:schemaRefs/>
</ds:datastoreItem>
</file>

<file path=customXml/itemProps6.xml><?xml version="1.0" encoding="utf-8"?>
<ds:datastoreItem xmlns:ds="http://schemas.openxmlformats.org/officeDocument/2006/customXml" ds:itemID="{34C4A5AA-FF6B-43F6-9980-74572D4EF475}">
  <ds:schemaRefs/>
</ds:datastoreItem>
</file>

<file path=customXml/itemProps7.xml><?xml version="1.0" encoding="utf-8"?>
<ds:datastoreItem xmlns:ds="http://schemas.openxmlformats.org/officeDocument/2006/customXml" ds:itemID="{0D0FABD4-929F-4BF5-A17D-CBB42402B12F}">
  <ds:schemaRefs>
    <ds:schemaRef ds:uri="http://schemas.microsoft.com/DataMashup"/>
  </ds:schemaRefs>
</ds:datastoreItem>
</file>

<file path=customXml/itemProps8.xml><?xml version="1.0" encoding="utf-8"?>
<ds:datastoreItem xmlns:ds="http://schemas.openxmlformats.org/officeDocument/2006/customXml" ds:itemID="{015B9973-BD0A-4330-A562-1ADDC7A5B856}">
  <ds:schemaRefs/>
</ds:datastoreItem>
</file>

<file path=customXml/itemProps9.xml><?xml version="1.0" encoding="utf-8"?>
<ds:datastoreItem xmlns:ds="http://schemas.openxmlformats.org/officeDocument/2006/customXml" ds:itemID="{85D43CFA-7DE5-471C-A1D4-D184BBE1D1B7}">
  <ds:schemaRefs/>
</ds:datastoreItem>
</file>

<file path=customXml/itemProps10.xml><?xml version="1.0" encoding="utf-8"?>
<ds:datastoreItem xmlns:ds="http://schemas.openxmlformats.org/officeDocument/2006/customXml" ds:itemID="{CCF0381F-7F9B-4DC5-926E-E113970D8829}">
  <ds:schemaRefs/>
</ds:datastoreItem>
</file>

<file path=customXml/itemProps11.xml><?xml version="1.0" encoding="utf-8"?>
<ds:datastoreItem xmlns:ds="http://schemas.openxmlformats.org/officeDocument/2006/customXml" ds:itemID="{1DFA3B0E-C8B5-4094-822C-C86E5E0C0292}">
  <ds:schemaRefs/>
</ds:datastoreItem>
</file>

<file path=customXml/itemProps12.xml><?xml version="1.0" encoding="utf-8"?>
<ds:datastoreItem xmlns:ds="http://schemas.openxmlformats.org/officeDocument/2006/customXml" ds:itemID="{387DEA44-F774-448A-B3BE-CD4319F80417}">
  <ds:schemaRefs/>
</ds:datastoreItem>
</file>

<file path=customXml/itemProps13.xml><?xml version="1.0" encoding="utf-8"?>
<ds:datastoreItem xmlns:ds="http://schemas.openxmlformats.org/officeDocument/2006/customXml" ds:itemID="{D4869C5C-A981-4B65-83EB-DC59FE954F20}">
  <ds:schemaRefs/>
</ds:datastoreItem>
</file>

<file path=customXml/itemProps14.xml><?xml version="1.0" encoding="utf-8"?>
<ds:datastoreItem xmlns:ds="http://schemas.openxmlformats.org/officeDocument/2006/customXml" ds:itemID="{A9193C73-1DFB-47B1-BFF7-B9222C90D932}">
  <ds:schemaRefs/>
</ds:datastoreItem>
</file>

<file path=customXml/itemProps15.xml><?xml version="1.0" encoding="utf-8"?>
<ds:datastoreItem xmlns:ds="http://schemas.openxmlformats.org/officeDocument/2006/customXml" ds:itemID="{63822379-8456-488D-A505-478E1FC61993}">
  <ds:schemaRefs/>
</ds:datastoreItem>
</file>

<file path=customXml/itemProps16.xml><?xml version="1.0" encoding="utf-8"?>
<ds:datastoreItem xmlns:ds="http://schemas.openxmlformats.org/officeDocument/2006/customXml" ds:itemID="{A9B55D68-2DDE-4118-AD5B-70F091099304}">
  <ds:schemaRefs/>
</ds:datastoreItem>
</file>

<file path=customXml/itemProps17.xml><?xml version="1.0" encoding="utf-8"?>
<ds:datastoreItem xmlns:ds="http://schemas.openxmlformats.org/officeDocument/2006/customXml" ds:itemID="{8648F153-98EB-4C8C-9D28-AFC7911229EA}">
  <ds:schemaRefs/>
</ds:datastoreItem>
</file>

<file path=customXml/itemProps18.xml><?xml version="1.0" encoding="utf-8"?>
<ds:datastoreItem xmlns:ds="http://schemas.openxmlformats.org/officeDocument/2006/customXml" ds:itemID="{397F52B9-DF6A-4A10-86C3-E598EE0C5546}">
  <ds:schemaRefs/>
</ds:datastoreItem>
</file>

<file path=customXml/itemProps19.xml><?xml version="1.0" encoding="utf-8"?>
<ds:datastoreItem xmlns:ds="http://schemas.openxmlformats.org/officeDocument/2006/customXml" ds:itemID="{F8E70F35-D5D7-49B3-8766-BCEB51D59B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vt:lpstr>
      <vt:lpstr>Customers</vt:lpstr>
      <vt:lpstr>Sales (2)</vt:lpstr>
      <vt:lpstr>Products (2)</vt:lpstr>
      <vt:lpstr>Sheet4</vt:lpstr>
      <vt:lpstr>Sales </vt:lpstr>
      <vt:lpstr>Products</vt:lpstr>
      <vt:lpstr>customers_tbl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OLADIMEJI'S WORK</cp:lastModifiedBy>
  <dcterms:created xsi:type="dcterms:W3CDTF">2025-11-20T14:39:16Z</dcterms:created>
  <dcterms:modified xsi:type="dcterms:W3CDTF">2026-04-26T09:43:20Z</dcterms:modified>
</cp:coreProperties>
</file>